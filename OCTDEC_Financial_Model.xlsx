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Assumptions" sheetId="2" state="visible" r:id="rId4"/>
    <sheet name="Startup Cost" sheetId="3" state="visible" r:id="rId5"/>
    <sheet name="Revenue Projection" sheetId="4" state="visible" r:id="rId6"/>
    <sheet name="P&amp;L Statement" sheetId="5" state="visible" r:id="rId7"/>
    <sheet name="Break-even Analysis" sheetId="6" state="visible" r:id="rId8"/>
    <sheet name="Cash Flow"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<sst xmlns="http://schemas.openxmlformats.org/spreadsheetml/2006/main" count="233" uniqueCount="190">
  <si>
    <t xml:space="preserve">OCTDEC  |  EXECUTIVE DASHBOARD</t>
  </si>
  <si>
    <t xml:space="preserve">K-Beauty for Every Budget  —  3-Year Financial Model Summary  |  Business Plan, July 2026</t>
  </si>
  <si>
    <t xml:space="preserve">TOTAL STARTUP COST</t>
  </si>
  <si>
    <t xml:space="preserve">YEAR 3 REVENUE</t>
  </si>
  <si>
    <t xml:space="preserve">YEAR 3 NET PROFIT</t>
  </si>
  <si>
    <t xml:space="preserve">GROSS MARGIN</t>
  </si>
  <si>
    <t xml:space="preserve">₹</t>
  </si>
  <si>
    <t xml:space="preserve">₹ Lakh</t>
  </si>
  <si>
    <t xml:space="preserve">BREAK-EVEN UNITS</t>
  </si>
  <si>
    <t xml:space="preserve">YEAR 3 UNITS SOLD</t>
  </si>
  <si>
    <t xml:space="preserve">REVENUE CAGR (Y1-Y3)</t>
  </si>
  <si>
    <t xml:space="preserve">YEAR 3 NET MARGIN</t>
  </si>
  <si>
    <t xml:space="preserve">units</t>
  </si>
  <si>
    <t xml:space="preserve">Cost Category</t>
  </si>
  <si>
    <t xml:space="preserve">Year 3 (₹ Lakh)</t>
  </si>
  <si>
    <t xml:space="preserve">COGS</t>
  </si>
  <si>
    <t xml:space="preserve">Marketing</t>
  </si>
  <si>
    <t xml:space="preserve">Logistics</t>
  </si>
  <si>
    <t xml:space="preserve">Overhead</t>
  </si>
  <si>
    <t xml:space="preserve">OCTDEC  |  FINANCIAL MODEL</t>
  </si>
  <si>
    <t xml:space="preserve">Assumptions Sheet  —  All inputs driving the 3-Year Financial Model  |  Figures in ₹ unless stated</t>
  </si>
  <si>
    <t xml:space="preserve">1.  UNIT ECONOMICS (Per Kit)</t>
  </si>
  <si>
    <t xml:space="preserve">Assumption</t>
  </si>
  <si>
    <t xml:space="preserve">Value</t>
  </si>
  <si>
    <t xml:space="preserve">Notes / Source</t>
  </si>
  <si>
    <t xml:space="preserve">Selling Price per Kit (MRP)</t>
  </si>
  <si>
    <t xml:space="preserve">Business Plan §13.2 / §25.1 — anchor retail price</t>
  </si>
  <si>
    <t xml:space="preserve">Cost of Goods Sold (COGS) per Kit</t>
  </si>
  <si>
    <t xml:space="preserve">Business Plan §25.1 — serum, capsules, pouch</t>
  </si>
  <si>
    <t xml:space="preserve">Packaging, Logistics &amp; Handling per Kit</t>
  </si>
  <si>
    <t xml:space="preserve">Business Plan §25.1</t>
  </si>
  <si>
    <t xml:space="preserve">Total Variable Cost per Kit</t>
  </si>
  <si>
    <t xml:space="preserve">Sum of COGS + Packaging/Logistics</t>
  </si>
  <si>
    <t xml:space="preserve">Contribution Margin per Kit</t>
  </si>
  <si>
    <t xml:space="preserve">Business Plan §25.1 — ≈ ₹70 (54%)</t>
  </si>
  <si>
    <t xml:space="preserve">Gross Margin % of Selling Price</t>
  </si>
  <si>
    <t xml:space="preserve">Business Plan §25.1 — ≈54%</t>
  </si>
  <si>
    <t xml:space="preserve">2.  REVENUE &amp; VOLUME ASSUMPTIONS (3-Year Plan)</t>
  </si>
  <si>
    <t xml:space="preserve">Year 1 Revenue (₹ Lakh)</t>
  </si>
  <si>
    <t xml:space="preserve">Business Plan §30.1</t>
  </si>
  <si>
    <t xml:space="preserve">Year 2 Revenue (₹ Lakh)</t>
  </si>
  <si>
    <t xml:space="preserve">Year 3 Revenue (₹ Lakh)</t>
  </si>
  <si>
    <t xml:space="preserve">Year 1→2 Growth Multiple</t>
  </si>
  <si>
    <t xml:space="preserve">Year 2→3 Growth Multiple</t>
  </si>
  <si>
    <t xml:space="preserve">3.  COST STRUCTURE ASSUMPTIONS (% of Total Operating Cost)</t>
  </si>
  <si>
    <t xml:space="preserve">Cost of Goods Sold — % of Total Cost</t>
  </si>
  <si>
    <t xml:space="preserve">Business Plan §31.1</t>
  </si>
  <si>
    <t xml:space="preserve">Marketing — % of Total Cost</t>
  </si>
  <si>
    <t xml:space="preserve">Logistics — % of Total Cost</t>
  </si>
  <si>
    <t xml:space="preserve">Overhead / Admin — % of Total Cost</t>
  </si>
  <si>
    <t xml:space="preserve">Check — Cost Structure Sums to 100%</t>
  </si>
  <si>
    <t xml:space="preserve">Total Operating Cost ÷ Revenue — Year 1</t>
  </si>
  <si>
    <t xml:space="preserve">Derived from Business Plan §31.1 (₹48.60L / ₹45.00L)</t>
  </si>
  <si>
    <t xml:space="preserve">Total Operating Cost ÷ Revenue — Year 2</t>
  </si>
  <si>
    <t xml:space="preserve">Derived from Business Plan §31.1 (₹172.80L / ₹180.00L)</t>
  </si>
  <si>
    <t xml:space="preserve">Total Operating Cost ÷ Revenue — Year 3</t>
  </si>
  <si>
    <t xml:space="preserve">Derived from Business Plan §31.1 (₹396.00L / ₹450.00L)</t>
  </si>
  <si>
    <t xml:space="preserve">4.  STARTUP, TAX &amp; WORKING CAPITAL ASSUMPTIONS  (Illustrative where noted)</t>
  </si>
  <si>
    <t xml:space="preserve">Total Estimated Startup Cost (₹)</t>
  </si>
  <si>
    <t xml:space="preserve">Business Plan §29</t>
  </si>
  <si>
    <t xml:space="preserve">Corporate Tax Rate (illustrative)</t>
  </si>
  <si>
    <t xml:space="preserve">ILLUSTRATIVE — approx. Indian domestic co. concessional rate; not stated in Business Plan</t>
  </si>
  <si>
    <t xml:space="preserve">Working Capital Buffer / Contingency (₹)</t>
  </si>
  <si>
    <t xml:space="preserve">Business Plan §29 (~10% of startup cost)</t>
  </si>
  <si>
    <t xml:space="preserve">Inflation / Cost Escalation p.a. (illustrative)</t>
  </si>
  <si>
    <t xml:space="preserve">ILLUSTRATIVE — not modelled; Business Plan holds unit economics constant across 3 yrs (§28)</t>
  </si>
  <si>
    <t xml:space="preserve">Opening Cash Injection (Founder Capital) (₹)</t>
  </si>
  <si>
    <t xml:space="preserve">ILLUSTRATIVE — assumed equal to startup cost, Business Plan §28.1 (no debt financing)</t>
  </si>
  <si>
    <t xml:space="preserve">5.  BREAK-EVEN INPUTS (carried from Business Plan §32)</t>
  </si>
  <si>
    <t xml:space="preserve">Year 1 Fixed Overhead (₹)</t>
  </si>
  <si>
    <t xml:space="preserve">Business Plan §31.1 / §32.1</t>
  </si>
  <si>
    <t xml:space="preserve">Colour key:  Blue = hardcoded input   |   Black = formula   |   Green = link from another sheet</t>
  </si>
  <si>
    <t xml:space="preserve">All figures are drawn directly from the OCTDEC Business Plan (July 2026) unless flagged ILLUSTRATIVE.</t>
  </si>
  <si>
    <t xml:space="preserve">OCTDEC  |  STARTUP COST</t>
  </si>
  <si>
    <t xml:space="preserve">One-time and initial working-capital costs to bring the business from concept to first commercial sale (Business Plan §29)</t>
  </si>
  <si>
    <t xml:space="preserve">Category</t>
  </si>
  <si>
    <t xml:space="preserve">Description</t>
  </si>
  <si>
    <t xml:space="preserve">Estimated Cost (₹)</t>
  </si>
  <si>
    <t xml:space="preserve">% of Total</t>
  </si>
  <si>
    <t xml:space="preserve">Company Registration &amp; Legal</t>
  </si>
  <si>
    <t xml:space="preserve">Pvt. Ltd. formation, trademark filing</t>
  </si>
  <si>
    <t xml:space="preserve">Product R&amp;D &amp; Formulation</t>
  </si>
  <si>
    <t xml:space="preserve">Contract lab work, 4-variant development</t>
  </si>
  <si>
    <t xml:space="preserve">Initial Inventory Production</t>
  </si>
  <si>
    <t xml:space="preserve">Batch 1, ~6,000 units at ₹45 COGS</t>
  </si>
  <si>
    <t xml:space="preserve">Packaging &amp; Brand Identity Design</t>
  </si>
  <si>
    <t xml:space="preserve">Pouch, capsule packaging, logo system</t>
  </si>
  <si>
    <t xml:space="preserve">Website &amp; D2C Storefront Setup</t>
  </si>
  <si>
    <t xml:space="preserve">E-commerce platform, WhatsApp Business API</t>
  </si>
  <si>
    <t xml:space="preserve">Initial Marketing &amp; Launch Campaign</t>
  </si>
  <si>
    <t xml:space="preserve">Influencer seeding, campus activation, content</t>
  </si>
  <si>
    <t xml:space="preserve">Quick-Commerce Onboarding &amp; Listing Fees</t>
  </si>
  <si>
    <t xml:space="preserve">Blinkit / Zepto / Instamart</t>
  </si>
  <si>
    <t xml:space="preserve">Photography, Content &amp; Product Sampling</t>
  </si>
  <si>
    <t xml:space="preserve">Photography, content production &amp; sampling</t>
  </si>
  <si>
    <t xml:space="preserve">Basic Operations Setup</t>
  </si>
  <si>
    <t xml:space="preserve">Equipment, minimal workspace</t>
  </si>
  <si>
    <t xml:space="preserve">Working Capital Buffer &amp; Contingency</t>
  </si>
  <si>
    <t xml:space="preserve">~10% contingency reserve</t>
  </si>
  <si>
    <t xml:space="preserve">GRAND TOTAL</t>
  </si>
  <si>
    <t xml:space="preserve">Note: At approximately ₹9.2 lakh, total startup cost reflects an asset-light, contract-manufactured launch (Business Plan §29).</t>
  </si>
  <si>
    <t xml:space="preserve">Cross-check vs. Assumptions sheet (Total Startup Cost)</t>
  </si>
  <si>
    <t xml:space="preserve">OCTDEC  |  REVENUE PROJECTION</t>
  </si>
  <si>
    <t xml:space="preserve">3-Year Revenue Plan  —  driven by phased go-to-market strategy (Business Plan §22, §30)</t>
  </si>
  <si>
    <t xml:space="preserve">Year</t>
  </si>
  <si>
    <t xml:space="preserve">Units Sold</t>
  </si>
  <si>
    <t xml:space="preserve">Selling Price (₹)</t>
  </si>
  <si>
    <t xml:space="preserve">Revenue (₹ Lakh)</t>
  </si>
  <si>
    <t xml:space="preserve">Growth (x Prior Yr)</t>
  </si>
  <si>
    <t xml:space="preserve">Year 1</t>
  </si>
  <si>
    <t xml:space="preserve">—</t>
  </si>
  <si>
    <t xml:space="preserve">Year 2</t>
  </si>
  <si>
    <t xml:space="preserve">Year 3</t>
  </si>
  <si>
    <t xml:space="preserve">CAGR (Year 1 → Year 3)</t>
  </si>
  <si>
    <t xml:space="preserve">Units Sold = Revenue ÷ Selling Price per Kit (Business Plan §30.1). Revenue grows ~10x from Year 1 to Year 3, ahead of category CAGR (~9.4%) due to India's D2C beauty segment CAGR of ~36.4% (Business Plan §9).</t>
  </si>
  <si>
    <t xml:space="preserve">OCTDEC  |  PROFIT &amp; LOSS STATEMENT</t>
  </si>
  <si>
    <t xml:space="preserve">3-Year P&amp;L  —  ₹ Lakh  |  Cost structure applied per Business Plan §31.1</t>
  </si>
  <si>
    <t xml:space="preserve">Line Item</t>
  </si>
  <si>
    <t xml:space="preserve">Revenue</t>
  </si>
  <si>
    <t xml:space="preserve">Total Operating Cost</t>
  </si>
  <si>
    <t xml:space="preserve">   Cost of Goods Sold (COGS)</t>
  </si>
  <si>
    <t xml:space="preserve">Gross Profit</t>
  </si>
  <si>
    <t xml:space="preserve">Gross Margin %</t>
  </si>
  <si>
    <t xml:space="preserve">Operating Expenses:</t>
  </si>
  <si>
    <t xml:space="preserve">   Marketing</t>
  </si>
  <si>
    <t xml:space="preserve">   Logistics</t>
  </si>
  <si>
    <t xml:space="preserve">   Administrative Expenses (Overhead)</t>
  </si>
  <si>
    <t xml:space="preserve">Total Operating Expenses</t>
  </si>
  <si>
    <t xml:space="preserve">Net Profit / (Loss) — Pre-Tax</t>
  </si>
  <si>
    <t xml:space="preserve">Income Tax (illustrative, only if profitable)</t>
  </si>
  <si>
    <t xml:space="preserve">Net Profit / (Loss) — After Tax</t>
  </si>
  <si>
    <t xml:space="preserve">Net Margin %</t>
  </si>
  <si>
    <t xml:space="preserve">Cost ratios (Total Cost ÷ Revenue) and cost-mix splits are taken directly from Business Plan §31.1 and remain fully formula-linked to the Assumptions sheet. Tax is illustrative and applied only in profitable years.</t>
  </si>
  <si>
    <t xml:space="preserve">OCTDEC  |  BREAK-EVEN ANALYSIS</t>
  </si>
  <si>
    <t xml:space="preserve">Unit-level operating break-even and investment break-even (Business Plan §32)</t>
  </si>
  <si>
    <t xml:space="preserve">1.  CONTRIBUTION MARGIN</t>
  </si>
  <si>
    <t xml:space="preserve">Metric</t>
  </si>
  <si>
    <t xml:space="preserve">Notes</t>
  </si>
  <si>
    <t xml:space="preserve">Selling Price per Unit</t>
  </si>
  <si>
    <t xml:space="preserve">Business Plan §32.1</t>
  </si>
  <si>
    <t xml:space="preserve">Variable Cost per Unit (COGS + Logistics)</t>
  </si>
  <si>
    <t xml:space="preserve">Contribution Margin per Unit</t>
  </si>
  <si>
    <t xml:space="preserve">≈ ₹70 (54%) — Business Plan §32.1</t>
  </si>
  <si>
    <t xml:space="preserve">Contribution Margin %</t>
  </si>
  <si>
    <t xml:space="preserve">2.  UNIT-LEVEL OPERATING BREAK-EVEN (Year 1 overhead only)</t>
  </si>
  <si>
    <t xml:space="preserve">Year 1 Fixed Overhead</t>
  </si>
  <si>
    <t xml:space="preserve">Break-even Volume (Units)</t>
  </si>
  <si>
    <t xml:space="preserve">≈ 10,414 units — Business Plan §32.1</t>
  </si>
  <si>
    <t xml:space="preserve">Break-even Revenue (₹)</t>
  </si>
  <si>
    <t xml:space="preserve">≈ ₹13.5 lakh — Business Plan §32.1</t>
  </si>
  <si>
    <t xml:space="preserve">3.  INVESTMENT BREAK-EVEN (Full Startup Cost Recovery)</t>
  </si>
  <si>
    <t xml:space="preserve">Total Estimated Startup Cost</t>
  </si>
  <si>
    <t xml:space="preserve">Investment Break-even Volume (Units)</t>
  </si>
  <si>
    <t xml:space="preserve">≈ 13,140 units — Business Plan §32.2</t>
  </si>
  <si>
    <t xml:space="preserve">Investment Break-even Revenue (₹)</t>
  </si>
  <si>
    <t xml:space="preserve">≈ ₹17.1 lakh — Business Plan §32.2</t>
  </si>
  <si>
    <t xml:space="preserve">Year 1 Projected Revenue (₹)</t>
  </si>
  <si>
    <t xml:space="preserve">Illustrative Months to Investment Break-even</t>
  </si>
  <si>
    <t xml:space="preserve">Assumes even monthly sales distribution across Year 1 — Business Plan §32.2 notes actual ramp likely back-loaded</t>
  </si>
  <si>
    <t xml:space="preserve">4.  BREAK-EVEN SENSITIVITY — Revenue vs. Cost Line (Illustrative Volume Scenarios)</t>
  </si>
  <si>
    <t xml:space="preserve">Total Revenue (₹)</t>
  </si>
  <si>
    <t xml:space="preserve">Total Cost (₹)</t>
  </si>
  <si>
    <t xml:space="preserve">OCTDEC  |  CASH FLOW STATEMENT</t>
  </si>
  <si>
    <t xml:space="preserve">Year 1 Monthly Cash Flow (illustrative ramp) + 3-Year Annual Summary  |  Figures in ₹ unless stated</t>
  </si>
  <si>
    <t xml:space="preserve">1.  YEAR 1 — MONTHLY CASH FLOW (ILLUSTRATIVE — monthly split not specified in Business Plan; weighted toward H2 per §32.2)</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</si>
  <si>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</si>
  <si>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</si>
  <si>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</si>
  <si>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</si>
  <si>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</si>
  <si>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</si>
  <si>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</si>
  <si>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</si>
  <si>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</si>
  <si>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Jan</t>
  </si>
  <si>
    <t xml:space="preserve">Feb</t>
  </si>
  <si>
    <t xml:space="preserve">Mar</t>
  </si>
  <si>
    <t xml:space="preserve">Revenue Weighting % (illustrative)</t>
  </si>
  <si>
    <t xml:space="preserve">Variable Cost (COGS + Packaging)</t>
  </si>
  <si>
    <t xml:space="preserve">Fixed Costs (Marketing + Logistics + Overhead, spread evenly)</t>
  </si>
  <si>
    <t xml:space="preserve">Total Cash Outflow</t>
  </si>
  <si>
    <t xml:space="preserve">Net Cash Flow for the Month</t>
  </si>
  <si>
    <t xml:space="preserve">Opening Cash Balance</t>
  </si>
  <si>
    <t xml:space="preserve">Closing Cash Balance</t>
  </si>
  <si>
    <t xml:space="preserve">Monthly revenue split is an ILLUSTRATIVE planning assumption (weighted toward H2, consistent with Business Plan §32.2's note that early months likely see lower volumes as brand awareness builds). Fixed costs are spread evenly across the year.</t>
  </si>
  <si>
    <t xml:space="preserve">2.  3-YEAR ANNUAL CASH FLOW SUMMARY (₹ Lakh)</t>
  </si>
  <si>
    <t xml:space="preserve">Cash Inflow (Revenue)</t>
  </si>
  <si>
    <t xml:space="preserve">Cash Outflow (Total Operating Cost)</t>
  </si>
  <si>
    <t xml:space="preserve">Net Cash Flow for the Year</t>
  </si>
  <si>
    <t xml:space="preserve">Annual summary reconciles directly to the P&amp;L Statement sheet (fully formula-linked). Opening cash for Year 1 equals the founder-capital injection assumed in the Assumptions sheet.</t>
  </si>
</sst>
</file>

<file path=xl/styles.xml><?xml version="1.0" encoding="utf-8"?>
<styleSheet xmlns="http://schemas.openxmlformats.org/spreadsheetml/2006/main">
  <numFmts count="7">
    <numFmt numFmtId="164" formatCode="General"/>
    <numFmt numFmtId="165" formatCode="#,##0;\(#,##0\);\-"/>
    <numFmt numFmtId="166" formatCode="#,##0.00;\(#,##0.00\);\-"/>
    <numFmt numFmtId="167" formatCode="0.0%;\(0.0%\);\-"/>
    <numFmt numFmtId="168" formatCode="0.00\x"/>
    <numFmt numFmtId="169" formatCode="0%;\(0%\);\-"/>
    <numFmt numFmtId="170" formatCode="0.0&quot; months&quot;"/>
  </numFmts>
  <fonts count="18">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9"/>
      <color rgb="FF595959"/>
      <name val="Arial"/>
      <family val="0"/>
      <charset val="1"/>
    </font>
    <font>
      <b val="true"/>
      <sz val="18"/>
      <color rgb="FF3B3B3B"/>
      <name val="Arial"/>
      <family val="0"/>
      <charset val="1"/>
    </font>
    <font>
      <i val="true"/>
      <sz val="8"/>
      <color rgb="FF808080"/>
      <name val="Arial"/>
      <family val="0"/>
      <charset val="1"/>
    </font>
    <font>
      <b val="true"/>
      <sz val="10"/>
      <color rgb="FFFFFFFF"/>
      <name val="Arial"/>
      <family val="0"/>
      <charset val="1"/>
    </font>
    <font>
      <sz val="10"/>
      <color rgb="FF000000"/>
      <name val="Arial"/>
      <family val="0"/>
      <charset val="1"/>
    </font>
    <font>
      <sz val="10"/>
      <color rgb="FF008000"/>
      <name val="Arial"/>
      <family val="0"/>
      <charset val="1"/>
    </font>
    <font>
      <b val="true"/>
      <sz val="18"/>
      <color rgb="FF000000"/>
      <name val="Calibri"/>
      <family val="2"/>
    </font>
    <font>
      <sz val="10"/>
      <color rgb="FF000000"/>
      <name val="Calibri"/>
      <family val="2"/>
    </font>
    <font>
      <sz val="10"/>
      <color rgb="FF0000FF"/>
      <name val="Arial"/>
      <family val="0"/>
      <charset val="1"/>
    </font>
    <font>
      <b val="true"/>
      <sz val="10"/>
      <color rgb="FF000000"/>
      <name val="Arial"/>
      <family val="0"/>
      <charset val="1"/>
    </font>
    <font>
      <b val="true"/>
      <sz val="11"/>
      <color rgb="FFFFFFFF"/>
      <name val="Arial"/>
      <family val="0"/>
      <charset val="1"/>
    </font>
    <font>
      <b val="true"/>
      <sz val="10"/>
      <color rgb="FF000000"/>
      <name val="Calibri"/>
      <family val="2"/>
    </font>
  </fonts>
  <fills count="7">
    <fill>
      <patternFill patternType="none"/>
    </fill>
    <fill>
      <patternFill patternType="gray125"/>
    </fill>
    <fill>
      <patternFill patternType="solid">
        <fgColor rgb="FF3B3B3B"/>
        <bgColor rgb="FF4D4D4D"/>
      </patternFill>
    </fill>
    <fill>
      <patternFill patternType="solid">
        <fgColor rgb="FFF2F2F2"/>
        <bgColor rgb="FFF9F9F9"/>
      </patternFill>
    </fill>
    <fill>
      <patternFill patternType="solid">
        <fgColor rgb="FFFFFFFF"/>
        <bgColor rgb="FFF9F9F9"/>
      </patternFill>
    </fill>
    <fill>
      <patternFill patternType="solid">
        <fgColor rgb="FFBFBFBF"/>
        <bgColor rgb="FFC0C0C0"/>
      </patternFill>
    </fill>
    <fill>
      <patternFill patternType="solid">
        <fgColor rgb="FFE7E7E7"/>
        <bgColor rgb="FFF2F2F2"/>
      </patternFill>
    </fill>
  </fills>
  <borders count="4">
    <border diagonalUp="false" diagonalDown="false">
      <left/>
      <right/>
      <top/>
      <bottom/>
      <diagonal/>
    </border>
    <border diagonalUp="false" diagonalDown="false">
      <left style="medium">
        <color rgb="FF595959"/>
      </left>
      <right style="medium">
        <color rgb="FF595959"/>
      </right>
      <top style="medium">
        <color rgb="FF595959"/>
      </top>
      <bottom style="medium">
        <color rgb="FF595959"/>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595959"/>
      </top>
      <bottom style="medium">
        <color rgb="FF59595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6" fontId="7" fillId="3" borderId="1" xfId="0" applyFont="true" applyBorder="true" applyAlignment="true" applyProtection="false">
      <alignment horizontal="center" vertical="center" textRotation="0" wrapText="false" indent="0" shrinkToFit="false"/>
      <protection locked="true" hidden="false"/>
    </xf>
    <xf numFmtId="167" fontId="7"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9" fillId="2" borderId="2" xfId="0" applyFont="true" applyBorder="true" applyAlignment="false" applyProtection="false">
      <alignment horizontal="general" vertical="bottom" textRotation="0" wrapText="false" indent="0"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6" fontId="11" fillId="3" borderId="2" xfId="0" applyFont="true" applyBorder="true" applyAlignment="false" applyProtection="false">
      <alignment horizontal="general" vertical="bottom" textRotation="0" wrapText="false" indent="0" shrinkToFit="false"/>
      <protection locked="true" hidden="false"/>
    </xf>
    <xf numFmtId="164" fontId="10" fillId="4" borderId="2" xfId="0" applyFont="true" applyBorder="true" applyAlignment="false" applyProtection="false">
      <alignment horizontal="general" vertical="bottom" textRotation="0" wrapText="false" indent="0" shrinkToFit="false"/>
      <protection locked="true" hidden="false"/>
    </xf>
    <xf numFmtId="166" fontId="11" fillId="4" borderId="2" xfId="0" applyFont="true" applyBorder="true" applyAlignment="false" applyProtection="false">
      <alignment horizontal="general" vertical="bottom" textRotation="0" wrapText="false" indent="0" shrinkToFit="false"/>
      <protection locked="true" hidden="false"/>
    </xf>
    <xf numFmtId="164" fontId="9" fillId="5" borderId="2" xfId="0" applyFont="true" applyBorder="true" applyAlignment="true" applyProtection="false">
      <alignment horizontal="left" vertical="center" textRotation="0" wrapText="false" indent="1"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5" fontId="14" fillId="3" borderId="2"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8" fillId="3" borderId="2" xfId="0" applyFont="true" applyBorder="true" applyAlignment="false" applyProtection="false">
      <alignment horizontal="general" vertical="bottom" textRotation="0" wrapText="false" indent="0" shrinkToFit="false"/>
      <protection locked="true" hidden="false"/>
    </xf>
    <xf numFmtId="165" fontId="14" fillId="4" borderId="2"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8" fillId="4" borderId="2" xfId="0" applyFont="true" applyBorder="true" applyAlignment="false" applyProtection="false">
      <alignment horizontal="general" vertical="bottom" textRotation="0" wrapText="false" indent="0" shrinkToFit="false"/>
      <protection locked="true" hidden="false"/>
    </xf>
    <xf numFmtId="164" fontId="15" fillId="4" borderId="2" xfId="0" applyFont="true" applyBorder="true" applyAlignment="false" applyProtection="false">
      <alignment horizontal="general" vertical="bottom" textRotation="0" wrapText="false" indent="0" shrinkToFit="false"/>
      <protection locked="true" hidden="false"/>
    </xf>
    <xf numFmtId="165" fontId="10" fillId="4" borderId="2" xfId="0" applyFont="true" applyBorder="true" applyAlignment="false" applyProtection="false">
      <alignment horizontal="general" vertical="bottom" textRotation="0" wrapText="false" indent="0" shrinkToFit="false"/>
      <protection locked="true" hidden="false"/>
    </xf>
    <xf numFmtId="164" fontId="15" fillId="3" borderId="2" xfId="0" applyFont="true" applyBorder="true" applyAlignment="false" applyProtection="false">
      <alignment horizontal="general" vertical="bottom" textRotation="0" wrapText="false" indent="0" shrinkToFit="false"/>
      <protection locked="true" hidden="false"/>
    </xf>
    <xf numFmtId="165" fontId="10" fillId="3" borderId="2" xfId="0" applyFont="true" applyBorder="true" applyAlignment="false" applyProtection="false">
      <alignment horizontal="general" vertical="bottom" textRotation="0" wrapText="false" indent="0" shrinkToFit="false"/>
      <protection locked="true" hidden="false"/>
    </xf>
    <xf numFmtId="167" fontId="10" fillId="4" borderId="2" xfId="0" applyFont="true" applyBorder="true" applyAlignment="false" applyProtection="false">
      <alignment horizontal="general" vertical="bottom" textRotation="0" wrapText="false" indent="0" shrinkToFit="false"/>
      <protection locked="true" hidden="false"/>
    </xf>
    <xf numFmtId="166" fontId="14" fillId="4" borderId="2" xfId="0" applyFont="true" applyBorder="true" applyAlignment="false" applyProtection="false">
      <alignment horizontal="general" vertical="bottom" textRotation="0" wrapText="false" indent="0" shrinkToFit="false"/>
      <protection locked="true" hidden="false"/>
    </xf>
    <xf numFmtId="166" fontId="14" fillId="3" borderId="2" xfId="0" applyFont="true" applyBorder="true" applyAlignment="false" applyProtection="false">
      <alignment horizontal="general" vertical="bottom" textRotation="0" wrapText="false" indent="0" shrinkToFit="false"/>
      <protection locked="true" hidden="false"/>
    </xf>
    <xf numFmtId="168" fontId="14" fillId="3" borderId="2" xfId="0" applyFont="true" applyBorder="true" applyAlignment="false" applyProtection="false">
      <alignment horizontal="general" vertical="bottom" textRotation="0" wrapText="false" indent="0" shrinkToFit="false"/>
      <protection locked="true" hidden="false"/>
    </xf>
    <xf numFmtId="168" fontId="14" fillId="4" borderId="2" xfId="0" applyFont="true" applyBorder="true" applyAlignment="false" applyProtection="false">
      <alignment horizontal="general" vertical="bottom" textRotation="0" wrapText="false" indent="0" shrinkToFit="false"/>
      <protection locked="true" hidden="false"/>
    </xf>
    <xf numFmtId="167" fontId="14" fillId="4" borderId="2" xfId="0" applyFont="true" applyBorder="true" applyAlignment="false" applyProtection="false">
      <alignment horizontal="general" vertical="bottom" textRotation="0" wrapText="false" indent="0" shrinkToFit="false"/>
      <protection locked="true" hidden="false"/>
    </xf>
    <xf numFmtId="167" fontId="14" fillId="3" borderId="2" xfId="0" applyFont="true" applyBorder="true" applyAlignment="false" applyProtection="false">
      <alignment horizontal="general" vertical="bottom" textRotation="0" wrapText="false" indent="0" shrinkToFit="false"/>
      <protection locked="true" hidden="false"/>
    </xf>
    <xf numFmtId="169" fontId="10" fillId="4"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10" fillId="3" borderId="2" xfId="0" applyFont="true" applyBorder="true" applyAlignment="false" applyProtection="false">
      <alignment horizontal="general" vertical="bottom" textRotation="0" wrapText="false" indent="0" shrinkToFit="false"/>
      <protection locked="true" hidden="false"/>
    </xf>
    <xf numFmtId="164" fontId="16" fillId="2" borderId="2" xfId="0" applyFont="true" applyBorder="true" applyAlignment="false" applyProtection="false">
      <alignment horizontal="general" vertical="bottom" textRotation="0" wrapText="false" indent="0" shrinkToFit="false"/>
      <protection locked="true" hidden="false"/>
    </xf>
    <xf numFmtId="165" fontId="16" fillId="2" borderId="2" xfId="0" applyFont="true" applyBorder="true" applyAlignment="false" applyProtection="false">
      <alignment horizontal="general" vertical="bottom" textRotation="0" wrapText="false" indent="0" shrinkToFit="false"/>
      <protection locked="true" hidden="false"/>
    </xf>
    <xf numFmtId="169" fontId="16" fillId="2" borderId="2"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11" fillId="3" borderId="2" xfId="0" applyFont="true" applyBorder="true" applyAlignment="false" applyProtection="false">
      <alignment horizontal="general" vertical="bottom" textRotation="0" wrapText="false" indent="0" shrinkToFit="false"/>
      <protection locked="true" hidden="false"/>
    </xf>
    <xf numFmtId="165" fontId="11" fillId="4" borderId="2" xfId="0" applyFont="true" applyBorder="true" applyAlignment="false" applyProtection="false">
      <alignment horizontal="general" vertical="bottom" textRotation="0" wrapText="false" indent="0" shrinkToFit="false"/>
      <protection locked="true" hidden="false"/>
    </xf>
    <xf numFmtId="168" fontId="10" fillId="4" borderId="2" xfId="0" applyFont="true" applyBorder="true" applyAlignment="false" applyProtection="false">
      <alignment horizontal="general" vertical="bottom" textRotation="0" wrapText="false" indent="0" shrinkToFit="false"/>
      <protection locked="true" hidden="false"/>
    </xf>
    <xf numFmtId="168" fontId="10" fillId="3" borderId="2" xfId="0" applyFont="true" applyBorder="true" applyAlignment="false" applyProtection="false">
      <alignment horizontal="general" vertical="bottom" textRotation="0" wrapText="false" indent="0" shrinkToFit="false"/>
      <protection locked="true" hidden="false"/>
    </xf>
    <xf numFmtId="164" fontId="15" fillId="6" borderId="2" xfId="0" applyFont="tru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7" fontId="10" fillId="6"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6" fontId="10" fillId="4" borderId="2" xfId="0" applyFont="true" applyBorder="true" applyAlignment="false" applyProtection="false">
      <alignment horizontal="general" vertical="bottom" textRotation="0" wrapText="false" indent="0" shrinkToFit="false"/>
      <protection locked="true" hidden="false"/>
    </xf>
    <xf numFmtId="166" fontId="10" fillId="3" borderId="2" xfId="0" applyFont="true" applyBorder="true" applyAlignment="false" applyProtection="false">
      <alignment horizontal="general" vertical="bottom" textRotation="0" wrapText="false" indent="0" shrinkToFit="false"/>
      <protection locked="true" hidden="false"/>
    </xf>
    <xf numFmtId="164" fontId="15" fillId="3" borderId="3" xfId="0" applyFont="true" applyBorder="true" applyAlignment="false" applyProtection="false">
      <alignment horizontal="general" vertical="bottom" textRotation="0" wrapText="false" indent="0" shrinkToFit="false"/>
      <protection locked="true" hidden="false"/>
    </xf>
    <xf numFmtId="166" fontId="15" fillId="3" borderId="3" xfId="0" applyFont="true" applyBorder="true" applyAlignment="false" applyProtection="false">
      <alignment horizontal="general" vertical="bottom" textRotation="0" wrapText="false" indent="0" shrinkToFit="false"/>
      <protection locked="true" hidden="false"/>
    </xf>
    <xf numFmtId="170" fontId="10" fillId="3" borderId="2" xfId="0" applyFont="true" applyBorder="true" applyAlignment="false" applyProtection="false">
      <alignment horizontal="general" vertical="bottom" textRotation="0" wrapText="false" indent="0" shrinkToFit="false"/>
      <protection locked="true" hidden="false"/>
    </xf>
    <xf numFmtId="164" fontId="9" fillId="2" borderId="2" xfId="0" applyFont="true" applyBorder="true" applyAlignment="true" applyProtection="false">
      <alignment horizontal="center" vertical="bottom" textRotation="0" wrapText="false" indent="0" shrinkToFit="false"/>
      <protection locked="true" hidden="false"/>
    </xf>
    <xf numFmtId="169" fontId="14" fillId="3" borderId="2" xfId="0" applyFont="true" applyBorder="true" applyAlignment="false" applyProtection="false">
      <alignment horizontal="general" vertical="bottom" textRotation="0" wrapText="false" indent="0" shrinkToFit="false"/>
      <protection locked="true" hidden="false"/>
    </xf>
    <xf numFmtId="166" fontId="16" fillId="2"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b val="1"/>
        <color rgb="FF375623"/>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78787"/>
      <rgbColor rgb="FF800080"/>
      <rgbColor rgb="FF008080"/>
      <rgbColor rgb="FFC0C0C0"/>
      <rgbColor rgb="FF808080"/>
      <rgbColor rgb="FFA6A6A6"/>
      <rgbColor rgb="FF595959"/>
      <rgbColor rgb="FFF9F9F9"/>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7E7E7"/>
      <rgbColor rgb="FFCCFFCC"/>
      <rgbColor rgb="FFFFFF99"/>
      <rgbColor rgb="FFBFBFBF"/>
      <rgbColor rgb="FFFF99CC"/>
      <rgbColor rgb="FFCC99FF"/>
      <rgbColor rgb="FFFFCC99"/>
      <rgbColor rgb="FF4F81BD"/>
      <rgbColor rgb="FF33CCCC"/>
      <rgbColor rgb="FF99CC00"/>
      <rgbColor rgb="FFFFCC00"/>
      <rgbColor rgb="FFFF9900"/>
      <rgbColor rgb="FFFF6600"/>
      <rgbColor rgb="FF737373"/>
      <rgbColor rgb="FF999999"/>
      <rgbColor rgb="FF003366"/>
      <rgbColor rgb="FF8C8C8C"/>
      <rgbColor rgb="FF003300"/>
      <rgbColor rgb="FF375623"/>
      <rgbColor rgb="FF993300"/>
      <rgbColor rgb="FF993366"/>
      <rgbColor rgb="FF4D4D4D"/>
      <rgbColor rgb="FF3B3B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Trend (₹ Lakh)</a:t>
            </a:r>
          </a:p>
        </c:rich>
      </c:tx>
      <c:overlay val="0"/>
      <c:spPr>
        <a:noFill/>
        <a:ln w="0">
          <a:noFill/>
        </a:ln>
      </c:spPr>
    </c:title>
    <c:autoTitleDeleted val="0"/>
    <c:plotArea>
      <c:lineChart>
        <c:grouping val="standard"/>
        <c:varyColors val="0"/>
        <c:ser>
          <c:idx val="0"/>
          <c:order val="0"/>
          <c:tx>
            <c:strRef>
              <c:f>'Revenue Projection'!E4</c:f>
              <c:strCache>
                <c:ptCount val="1"/>
                <c:pt idx="0">
                  <c:v>Revenue (₹ Lakh)</c:v>
                </c:pt>
              </c:strCache>
            </c:strRef>
          </c:tx>
          <c:spPr>
            <a:solidFill>
              <a:srgbClr val="3b3b3b"/>
            </a:solidFill>
            <a:ln w="25920">
              <a:solidFill>
                <a:srgbClr val="3b3b3b"/>
              </a:solidFill>
              <a:round/>
            </a:ln>
          </c:spPr>
          <c:marker>
            <c:symbol val="circle"/>
            <c:size val="5"/>
            <c:spPr>
              <a:solidFill>
                <a:srgbClr val="3b3b3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Projection'!$B$5:$B$7</c:f>
              <c:strCache>
                <c:ptCount val="3"/>
                <c:pt idx="0">
                  <c:v>Year 1</c:v>
                </c:pt>
                <c:pt idx="1">
                  <c:v>Year 2</c:v>
                </c:pt>
                <c:pt idx="2">
                  <c:v>Year 3</c:v>
                </c:pt>
              </c:strCache>
            </c:strRef>
          </c:cat>
          <c:val>
            <c:numRef>
              <c:f>'Revenue Projection'!$E$5:$E$7</c:f>
              <c:numCache>
                <c:formatCode>#,##0.00;\(#,##0.00\);\-</c:formatCode>
                <c:ptCount val="3"/>
                <c:pt idx="0">
                  <c:v>45</c:v>
                </c:pt>
                <c:pt idx="1">
                  <c:v>180</c:v>
                </c:pt>
                <c:pt idx="2">
                  <c:v>450</c:v>
                </c:pt>
              </c:numCache>
            </c:numRef>
          </c:val>
          <c:smooth val="1"/>
        </c:ser>
        <c:hiLowLines>
          <c:spPr>
            <a:ln w="0">
              <a:noFill/>
            </a:ln>
          </c:spPr>
        </c:hiLowLines>
        <c:marker val="1"/>
        <c:axId val="63351408"/>
        <c:axId val="99740224"/>
      </c:lineChart>
      <c:catAx>
        <c:axId val="633514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740224"/>
        <c:crosses val="autoZero"/>
        <c:auto val="1"/>
        <c:lblAlgn val="ctr"/>
        <c:lblOffset val="100"/>
        <c:noMultiLvlLbl val="0"/>
      </c:catAx>
      <c:valAx>
        <c:axId val="99740224"/>
        <c:scaling>
          <c:orientation val="minMax"/>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35140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Profit Trend (₹ Lakh)</a:t>
            </a:r>
          </a:p>
        </c:rich>
      </c:tx>
      <c:overlay val="0"/>
      <c:spPr>
        <a:noFill/>
        <a:ln w="0">
          <a:noFill/>
        </a:ln>
      </c:spPr>
    </c:title>
    <c:autoTitleDeleted val="0"/>
    <c:plotArea>
      <c:barChart>
        <c:barDir val="col"/>
        <c:grouping val="clustered"/>
        <c:varyColors val="0"/>
        <c:ser>
          <c:idx val="0"/>
          <c:order val="0"/>
          <c:tx>
            <c:strRef>
              <c:f>'P&amp;L Statement'!B19</c:f>
              <c:strCache>
                <c:ptCount val="1"/>
                <c:pt idx="0">
                  <c:v>Net Profit / (Loss) — After Tax</c:v>
                </c:pt>
              </c:strCache>
            </c:strRef>
          </c:tx>
          <c:spPr>
            <a:solidFill>
              <a:srgbClr val="8c8c8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'P&amp;L Statement'!$C$4:$E$4</c:f>
              <c:strCache>
                <c:ptCount val="3"/>
                <c:pt idx="0">
                  <c:v>Year 1</c:v>
                </c:pt>
                <c:pt idx="1">
                  <c:v>Year 2</c:v>
                </c:pt>
                <c:pt idx="2">
                  <c:v>Year 3</c:v>
                </c:pt>
              </c:strCache>
            </c:strRef>
          </c:cat>
          <c:val>
            <c:numRef>
              <c:f>'P&amp;L Statement'!$C$19:$E$19</c:f>
              <c:numCache>
                <c:formatCode>#,##0.00;\(#,##0.00\);\-</c:formatCode>
                <c:ptCount val="3"/>
                <c:pt idx="0">
                  <c:v>-3.6</c:v>
                </c:pt>
                <c:pt idx="1">
                  <c:v>5.4</c:v>
                </c:pt>
                <c:pt idx="2">
                  <c:v>40.5</c:v>
                </c:pt>
              </c:numCache>
            </c:numRef>
          </c:val>
        </c:ser>
        <c:gapWidth val="150"/>
        <c:overlap val="0"/>
        <c:axId val="58941488"/>
        <c:axId val="58424323"/>
      </c:barChart>
      <c:catAx>
        <c:axId val="589414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424323"/>
        <c:crosses val="autoZero"/>
        <c:auto val="1"/>
        <c:lblAlgn val="ctr"/>
        <c:lblOffset val="100"/>
        <c:noMultiLvlLbl val="0"/>
      </c:catAx>
      <c:valAx>
        <c:axId val="58424323"/>
        <c:scaling>
          <c:orientation val="minMax"/>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94148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 Breakdown — Year 3 (₹ Lakh)</a:t>
            </a:r>
          </a:p>
        </c:rich>
      </c:tx>
      <c:overlay val="0"/>
      <c:spPr>
        <a:noFill/>
        <a:ln w="0">
          <a:noFill/>
        </a:ln>
      </c:spPr>
    </c:title>
    <c:autoTitleDeleted val="0"/>
    <c:plotArea>
      <c:pieChart>
        <c:varyColors val="1"/>
        <c:ser>
          <c:idx val="0"/>
          <c:order val="0"/>
          <c:tx>
            <c:strRef>
              <c:f>Dashboard!C31</c:f>
              <c:strCache>
                <c:ptCount val="1"/>
                <c:pt idx="0">
                  <c:v>Year 3 (₹ Lakh)</c:v>
                </c:pt>
              </c:strCache>
            </c:strRef>
          </c:tx>
          <c:spPr>
            <a:solidFill>
              <a:srgbClr val="4f81bd"/>
            </a:solidFill>
            <a:ln w="0">
              <a:noFill/>
            </a:ln>
          </c:spPr>
          <c:explosion val="0"/>
          <c:dPt>
            <c:idx val="0"/>
            <c:spPr>
              <a:solidFill>
                <a:srgbClr val="3b3b3b"/>
              </a:solidFill>
              <a:ln w="0">
                <a:noFill/>
              </a:ln>
            </c:spPr>
          </c:dPt>
          <c:dPt>
            <c:idx val="1"/>
            <c:spPr>
              <a:solidFill>
                <a:srgbClr val="737373"/>
              </a:solidFill>
              <a:ln w="0">
                <a:noFill/>
              </a:ln>
            </c:spPr>
          </c:dPt>
          <c:dPt>
            <c:idx val="2"/>
            <c:spPr>
              <a:solidFill>
                <a:srgbClr val="a6a6a6"/>
              </a:solidFill>
              <a:ln w="0">
                <a:noFill/>
              </a:ln>
            </c:spPr>
          </c:dPt>
          <c:dPt>
            <c:idx val="3"/>
            <c:spPr>
              <a:solidFill>
                <a:srgbClr val="d9d9d9"/>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showLeaderLines val="1"/>
          </c:dLbls>
          <c:cat>
            <c:strRef>
              <c:f>Dashboard!$B$32:$B$35</c:f>
              <c:strCache>
                <c:ptCount val="4"/>
                <c:pt idx="0">
                  <c:v>COGS</c:v>
                </c:pt>
                <c:pt idx="1">
                  <c:v>Marketing</c:v>
                </c:pt>
                <c:pt idx="2">
                  <c:v>Logistics</c:v>
                </c:pt>
                <c:pt idx="3">
                  <c:v>Overhead</c:v>
                </c:pt>
              </c:strCache>
            </c:strRef>
          </c:cat>
          <c:val>
            <c:numRef>
              <c:f>Dashboard!$C$32:$C$35</c:f>
              <c:numCache>
                <c:formatCode>#,##0.00;\(#,##0.00\);\-</c:formatCode>
                <c:ptCount val="4"/>
                <c:pt idx="0">
                  <c:v>166.32</c:v>
                </c:pt>
                <c:pt idx="1">
                  <c:v>110.88</c:v>
                </c:pt>
                <c:pt idx="2">
                  <c:v>59.4</c:v>
                </c:pt>
                <c:pt idx="3">
                  <c:v>59.4</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Startup Cost — Top Line Items (₹)</a:t>
            </a:r>
          </a:p>
        </c:rich>
      </c:tx>
      <c:overlay val="0"/>
      <c:spPr>
        <a:noFill/>
        <a:ln w="0">
          <a:noFill/>
        </a:ln>
      </c:spPr>
    </c:title>
    <c:autoTitleDeleted val="0"/>
    <c:plotArea>
      <c:barChart>
        <c:barDir val="bar"/>
        <c:grouping val="clustered"/>
        <c:varyColors val="0"/>
        <c:ser>
          <c:idx val="0"/>
          <c:order val="0"/>
          <c:tx>
            <c:strRef>
              <c:f>'Startup Cost'!D4</c:f>
              <c:strCache>
                <c:ptCount val="1"/>
                <c:pt idx="0">
                  <c:v>Estimated Cost (₹)</c:v>
                </c:pt>
              </c:strCache>
            </c:strRef>
          </c:tx>
          <c:spPr>
            <a:solidFill>
              <a:srgbClr val="5959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'Startup Cost'!$B$5:$B$14</c:f>
              <c:strCache>
                <c:ptCount val="10"/>
                <c:pt idx="0">
                  <c:v>Company Registration &amp; Legal</c:v>
                </c:pt>
                <c:pt idx="1">
                  <c:v>Product R&amp;D &amp; Formulation</c:v>
                </c:pt>
                <c:pt idx="2">
                  <c:v>Initial Inventory Production</c:v>
                </c:pt>
                <c:pt idx="3">
                  <c:v>Packaging &amp; Brand Identity Design</c:v>
                </c:pt>
                <c:pt idx="4">
                  <c:v>Website &amp; D2C Storefront Setup</c:v>
                </c:pt>
                <c:pt idx="5">
                  <c:v>Initial Marketing &amp; Launch Campaign</c:v>
                </c:pt>
                <c:pt idx="6">
                  <c:v>Quick-Commerce Onboarding &amp; Listing Fees</c:v>
                </c:pt>
                <c:pt idx="7">
                  <c:v>Photography, Content &amp; Product Sampling</c:v>
                </c:pt>
                <c:pt idx="8">
                  <c:v>Basic Operations Setup</c:v>
                </c:pt>
                <c:pt idx="9">
                  <c:v>Working Capital Buffer &amp; Contingency</c:v>
                </c:pt>
              </c:strCache>
            </c:strRef>
          </c:cat>
          <c:val>
            <c:numRef>
              <c:f>'Startup Cost'!$D$5:$D$14</c:f>
              <c:numCache>
                <c:formatCode>#,##0;\(#,##0\);\-</c:formatCode>
                <c:ptCount val="10"/>
                <c:pt idx="0">
                  <c:v>60000</c:v>
                </c:pt>
                <c:pt idx="1">
                  <c:v>150000</c:v>
                </c:pt>
                <c:pt idx="2">
                  <c:v>270000</c:v>
                </c:pt>
                <c:pt idx="3">
                  <c:v>80000</c:v>
                </c:pt>
                <c:pt idx="4">
                  <c:v>50000</c:v>
                </c:pt>
                <c:pt idx="5">
                  <c:v>120000</c:v>
                </c:pt>
                <c:pt idx="6">
                  <c:v>40000</c:v>
                </c:pt>
                <c:pt idx="7">
                  <c:v>30000</c:v>
                </c:pt>
                <c:pt idx="8">
                  <c:v>40000</c:v>
                </c:pt>
                <c:pt idx="9">
                  <c:v>80000</c:v>
                </c:pt>
              </c:numCache>
            </c:numRef>
          </c:val>
        </c:ser>
        <c:gapWidth val="150"/>
        <c:overlap val="0"/>
        <c:axId val="70630244"/>
        <c:axId val="6692432"/>
      </c:barChart>
      <c:catAx>
        <c:axId val="706302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92432"/>
        <c:crosses val="autoZero"/>
        <c:auto val="1"/>
        <c:lblAlgn val="ctr"/>
        <c:lblOffset val="100"/>
        <c:noMultiLvlLbl val="0"/>
      </c:catAx>
      <c:valAx>
        <c:axId val="669243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63024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Startup Cost Allocation</a:t>
            </a:r>
          </a:p>
        </c:rich>
      </c:tx>
      <c:overlay val="0"/>
      <c:spPr>
        <a:noFill/>
        <a:ln w="0">
          <a:noFill/>
        </a:ln>
      </c:spPr>
    </c:title>
    <c:autoTitleDeleted val="0"/>
    <c:plotArea>
      <c:pieChart>
        <c:varyColors val="1"/>
        <c:ser>
          <c:idx val="0"/>
          <c:order val="0"/>
          <c:tx>
            <c:strRef>
              <c:f>'Startup Cost'!D4</c:f>
              <c:strCache>
                <c:ptCount val="1"/>
                <c:pt idx="0">
                  <c:v>Estimated Cost (₹)</c:v>
                </c:pt>
              </c:strCache>
            </c:strRef>
          </c:tx>
          <c:spPr>
            <a:solidFill>
              <a:srgbClr val="4f81bd"/>
            </a:solidFill>
            <a:ln w="0">
              <a:noFill/>
            </a:ln>
          </c:spPr>
          <c:explosion val="0"/>
          <c:dPt>
            <c:idx val="0"/>
            <c:spPr>
              <a:solidFill>
                <a:srgbClr val="3b3b3b"/>
              </a:solidFill>
              <a:ln w="0">
                <a:noFill/>
              </a:ln>
            </c:spPr>
          </c:dPt>
          <c:dPt>
            <c:idx val="1"/>
            <c:spPr>
              <a:solidFill>
                <a:srgbClr val="595959"/>
              </a:solidFill>
              <a:ln w="0">
                <a:noFill/>
              </a:ln>
            </c:spPr>
          </c:dPt>
          <c:dPt>
            <c:idx val="2"/>
            <c:spPr>
              <a:solidFill>
                <a:srgbClr val="8c8c8c"/>
              </a:solidFill>
              <a:ln w="0">
                <a:noFill/>
              </a:ln>
            </c:spPr>
          </c:dPt>
          <c:dPt>
            <c:idx val="3"/>
            <c:spPr>
              <a:solidFill>
                <a:srgbClr val="a6a6a6"/>
              </a:solidFill>
              <a:ln w="0">
                <a:noFill/>
              </a:ln>
            </c:spPr>
          </c:dPt>
          <c:dPt>
            <c:idx val="4"/>
            <c:spPr>
              <a:solidFill>
                <a:srgbClr val="bfbfbf"/>
              </a:solidFill>
              <a:ln w="0">
                <a:noFill/>
              </a:ln>
            </c:spPr>
          </c:dPt>
          <c:dPt>
            <c:idx val="5"/>
            <c:spPr>
              <a:solidFill>
                <a:srgbClr val="d9d9d9"/>
              </a:solidFill>
              <a:ln w="0">
                <a:noFill/>
              </a:ln>
            </c:spPr>
          </c:dPt>
          <c:dPt>
            <c:idx val="6"/>
            <c:spPr>
              <a:solidFill>
                <a:srgbClr val="737373"/>
              </a:solidFill>
              <a:ln w="0">
                <a:noFill/>
              </a:ln>
            </c:spPr>
          </c:dPt>
          <c:dPt>
            <c:idx val="7"/>
            <c:spPr>
              <a:solidFill>
                <a:srgbClr val="4d4d4d"/>
              </a:solidFill>
              <a:ln w="0">
                <a:noFill/>
              </a:ln>
            </c:spPr>
          </c:dPt>
          <c:dPt>
            <c:idx val="8"/>
            <c:spPr>
              <a:solidFill>
                <a:srgbClr val="999999"/>
              </a:solidFill>
              <a:ln w="0">
                <a:noFill/>
              </a:ln>
            </c:spPr>
          </c:dPt>
          <c:dPt>
            <c:idx val="9"/>
            <c:spPr>
              <a:solidFill>
                <a:srgbClr val="c0c0c0"/>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4"/>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5"/>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6"/>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7"/>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8"/>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9"/>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showLeaderLines val="1"/>
          </c:dLbls>
          <c:cat>
            <c:strRef>
              <c:f>'Startup Cost'!$B$5:$B$14</c:f>
              <c:strCache>
                <c:ptCount val="10"/>
                <c:pt idx="0">
                  <c:v>Company Registration &amp; Legal</c:v>
                </c:pt>
                <c:pt idx="1">
                  <c:v>Product R&amp;D &amp; Formulation</c:v>
                </c:pt>
                <c:pt idx="2">
                  <c:v>Initial Inventory Production</c:v>
                </c:pt>
                <c:pt idx="3">
                  <c:v>Packaging &amp; Brand Identity Design</c:v>
                </c:pt>
                <c:pt idx="4">
                  <c:v>Website &amp; D2C Storefront Setup</c:v>
                </c:pt>
                <c:pt idx="5">
                  <c:v>Initial Marketing &amp; Launch Campaign</c:v>
                </c:pt>
                <c:pt idx="6">
                  <c:v>Quick-Commerce Onboarding &amp; Listing Fees</c:v>
                </c:pt>
                <c:pt idx="7">
                  <c:v>Photography, Content &amp; Product Sampling</c:v>
                </c:pt>
                <c:pt idx="8">
                  <c:v>Basic Operations Setup</c:v>
                </c:pt>
                <c:pt idx="9">
                  <c:v>Working Capital Buffer &amp; Contingency</c:v>
                </c:pt>
              </c:strCache>
            </c:strRef>
          </c:cat>
          <c:val>
            <c:numRef>
              <c:f>'Startup Cost'!$D$5:$D$14</c:f>
              <c:numCache>
                <c:formatCode>#,##0;\(#,##0\);\-</c:formatCode>
                <c:ptCount val="10"/>
                <c:pt idx="0">
                  <c:v>60000</c:v>
                </c:pt>
                <c:pt idx="1">
                  <c:v>150000</c:v>
                </c:pt>
                <c:pt idx="2">
                  <c:v>270000</c:v>
                </c:pt>
                <c:pt idx="3">
                  <c:v>80000</c:v>
                </c:pt>
                <c:pt idx="4">
                  <c:v>50000</c:v>
                </c:pt>
                <c:pt idx="5">
                  <c:v>120000</c:v>
                </c:pt>
                <c:pt idx="6">
                  <c:v>40000</c:v>
                </c:pt>
                <c:pt idx="7">
                  <c:v>30000</c:v>
                </c:pt>
                <c:pt idx="8">
                  <c:v>40000</c:v>
                </c:pt>
                <c:pt idx="9">
                  <c:v>80000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Trend (₹ Lakh)</a:t>
            </a:r>
          </a:p>
        </c:rich>
      </c:tx>
      <c:overlay val="0"/>
      <c:spPr>
        <a:noFill/>
        <a:ln w="0">
          <a:noFill/>
        </a:ln>
      </c:spPr>
    </c:title>
    <c:autoTitleDeleted val="0"/>
    <c:plotArea>
      <c:lineChart>
        <c:grouping val="standard"/>
        <c:varyColors val="0"/>
        <c:ser>
          <c:idx val="0"/>
          <c:order val="0"/>
          <c:tx>
            <c:strRef>
              <c:f>'Revenue Projection'!E4</c:f>
              <c:strCache>
                <c:ptCount val="1"/>
                <c:pt idx="0">
                  <c:v>Revenue (₹ Lakh)</c:v>
                </c:pt>
              </c:strCache>
            </c:strRef>
          </c:tx>
          <c:spPr>
            <a:solidFill>
              <a:srgbClr val="3b3b3b"/>
            </a:solidFill>
            <a:ln w="28080">
              <a:solidFill>
                <a:srgbClr val="3b3b3b"/>
              </a:solidFill>
              <a:round/>
            </a:ln>
          </c:spPr>
          <c:marker>
            <c:symbol val="circle"/>
            <c:size val="5"/>
            <c:spPr>
              <a:solidFill>
                <a:srgbClr val="3b3b3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Projection'!$B$5:$B$7</c:f>
              <c:strCache>
                <c:ptCount val="3"/>
                <c:pt idx="0">
                  <c:v>Year 1</c:v>
                </c:pt>
                <c:pt idx="1">
                  <c:v>Year 2</c:v>
                </c:pt>
                <c:pt idx="2">
                  <c:v>Year 3</c:v>
                </c:pt>
              </c:strCache>
            </c:strRef>
          </c:cat>
          <c:val>
            <c:numRef>
              <c:f>'Revenue Projection'!$E$5:$E$7</c:f>
              <c:numCache>
                <c:formatCode>#,##0.00;\(#,##0.00\);\-</c:formatCode>
                <c:ptCount val="3"/>
                <c:pt idx="0">
                  <c:v>45</c:v>
                </c:pt>
                <c:pt idx="1">
                  <c:v>180</c:v>
                </c:pt>
                <c:pt idx="2">
                  <c:v>450</c:v>
                </c:pt>
              </c:numCache>
            </c:numRef>
          </c:val>
          <c:smooth val="0"/>
        </c:ser>
        <c:hiLowLines>
          <c:spPr>
            <a:ln w="0">
              <a:noFill/>
            </a:ln>
          </c:spPr>
        </c:hiLowLines>
        <c:marker val="1"/>
        <c:axId val="87226709"/>
        <c:axId val="38729014"/>
      </c:lineChart>
      <c:catAx>
        <c:axId val="8722670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729014"/>
        <c:crosses val="autoZero"/>
        <c:auto val="1"/>
        <c:lblAlgn val="ctr"/>
        <c:lblOffset val="100"/>
        <c:noMultiLvlLbl val="0"/>
      </c:catAx>
      <c:valAx>
        <c:axId val="3872901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Lakh</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22670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Units Sold by Year</a:t>
            </a:r>
          </a:p>
        </c:rich>
      </c:tx>
      <c:overlay val="0"/>
      <c:spPr>
        <a:noFill/>
        <a:ln w="0">
          <a:noFill/>
        </a:ln>
      </c:spPr>
    </c:title>
    <c:autoTitleDeleted val="0"/>
    <c:plotArea>
      <c:barChart>
        <c:barDir val="col"/>
        <c:grouping val="clustered"/>
        <c:varyColors val="0"/>
        <c:ser>
          <c:idx val="0"/>
          <c:order val="0"/>
          <c:tx>
            <c:strRef>
              <c:f>'Revenue Projection'!C4</c:f>
              <c:strCache>
                <c:ptCount val="1"/>
                <c:pt idx="0">
                  <c:v>Units Sold</c:v>
                </c:pt>
              </c:strCache>
            </c:strRef>
          </c:tx>
          <c:spPr>
            <a:solidFill>
              <a:srgbClr val="8c8c8c"/>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Projection'!$B$5:$B$7</c:f>
              <c:strCache>
                <c:ptCount val="3"/>
                <c:pt idx="0">
                  <c:v>Year 1</c:v>
                </c:pt>
                <c:pt idx="1">
                  <c:v>Year 2</c:v>
                </c:pt>
                <c:pt idx="2">
                  <c:v>Year 3</c:v>
                </c:pt>
              </c:strCache>
            </c:strRef>
          </c:cat>
          <c:val>
            <c:numRef>
              <c:f>'Revenue Projection'!$C$5:$C$7</c:f>
              <c:numCache>
                <c:formatCode>#,##0;\(#,##0\);\-</c:formatCode>
                <c:ptCount val="3"/>
                <c:pt idx="0">
                  <c:v>34615.3846153846</c:v>
                </c:pt>
                <c:pt idx="1">
                  <c:v>138461.538461538</c:v>
                </c:pt>
                <c:pt idx="2">
                  <c:v>346153.846153846</c:v>
                </c:pt>
              </c:numCache>
            </c:numRef>
          </c:val>
        </c:ser>
        <c:gapWidth val="150"/>
        <c:overlap val="0"/>
        <c:axId val="98427348"/>
        <c:axId val="84005922"/>
      </c:barChart>
      <c:catAx>
        <c:axId val="9842734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005922"/>
        <c:crosses val="autoZero"/>
        <c:auto val="1"/>
        <c:lblAlgn val="ctr"/>
        <c:lblOffset val="100"/>
        <c:noMultiLvlLbl val="0"/>
      </c:catAx>
      <c:valAx>
        <c:axId val="8400592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Units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42734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vs Net Profit Trend (₹ Lakh)</a:t>
            </a:r>
          </a:p>
        </c:rich>
      </c:tx>
      <c:overlay val="0"/>
      <c:spPr>
        <a:noFill/>
        <a:ln w="0">
          <a:noFill/>
        </a:ln>
      </c:spPr>
    </c:title>
    <c:autoTitleDeleted val="0"/>
    <c:plotArea>
      <c:lineChart>
        <c:grouping val="standard"/>
        <c:varyColors val="0"/>
        <c:ser>
          <c:idx val="0"/>
          <c:order val="0"/>
          <c:tx>
            <c:strRef>
              <c:f>'P&amp;L Statement'!B5</c:f>
              <c:strCache>
                <c:ptCount val="1"/>
                <c:pt idx="0">
                  <c:v>Revenue</c:v>
                </c:pt>
              </c:strCache>
            </c:strRef>
          </c:tx>
          <c:spPr>
            <a:solidFill>
              <a:srgbClr val="3b3b3b"/>
            </a:solidFill>
            <a:ln w="25920">
              <a:solidFill>
                <a:srgbClr val="3b3b3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'P&amp;L Statement'!$C$4:$E$4</c:f>
              <c:strCache>
                <c:ptCount val="3"/>
                <c:pt idx="0">
                  <c:v>Year 1</c:v>
                </c:pt>
                <c:pt idx="1">
                  <c:v>Year 2</c:v>
                </c:pt>
                <c:pt idx="2">
                  <c:v>Year 3</c:v>
                </c:pt>
              </c:strCache>
            </c:strRef>
          </c:cat>
          <c:val>
            <c:numRef>
              <c:f>'P&amp;L Statement'!$C$5:$E$5</c:f>
              <c:numCache>
                <c:formatCode>#,##0.00;\(#,##0.00\);\-</c:formatCode>
                <c:ptCount val="3"/>
                <c:pt idx="0">
                  <c:v>45</c:v>
                </c:pt>
                <c:pt idx="1">
                  <c:v>180</c:v>
                </c:pt>
                <c:pt idx="2">
                  <c:v>450</c:v>
                </c:pt>
              </c:numCache>
            </c:numRef>
          </c:val>
          <c:smooth val="1"/>
        </c:ser>
        <c:ser>
          <c:idx val="1"/>
          <c:order val="1"/>
          <c:tx>
            <c:strRef>
              <c:f>'P&amp;L Statement'!B19</c:f>
              <c:strCache>
                <c:ptCount val="1"/>
                <c:pt idx="0">
                  <c:v>Net Profit / (Loss) — After Tax</c:v>
                </c:pt>
              </c:strCache>
            </c:strRef>
          </c:tx>
          <c:spPr>
            <a:solidFill>
              <a:srgbClr val="a6a6a6"/>
            </a:solidFill>
            <a:ln w="25920">
              <a:solidFill>
                <a:srgbClr val="a6a6a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'P&amp;L Statement'!$C$4:$E$4</c:f>
              <c:strCache>
                <c:ptCount val="3"/>
                <c:pt idx="0">
                  <c:v>Year 1</c:v>
                </c:pt>
                <c:pt idx="1">
                  <c:v>Year 2</c:v>
                </c:pt>
                <c:pt idx="2">
                  <c:v>Year 3</c:v>
                </c:pt>
              </c:strCache>
            </c:strRef>
          </c:cat>
          <c:val>
            <c:numRef>
              <c:f>'P&amp;L Statement'!$C$19:$E$19</c:f>
              <c:numCache>
                <c:formatCode>#,##0.00;\(#,##0.00\);\-</c:formatCode>
                <c:ptCount val="3"/>
                <c:pt idx="0">
                  <c:v>-3.6</c:v>
                </c:pt>
                <c:pt idx="1">
                  <c:v>5.4</c:v>
                </c:pt>
                <c:pt idx="2">
                  <c:v>40.5</c:v>
                </c:pt>
              </c:numCache>
            </c:numRef>
          </c:val>
          <c:smooth val="1"/>
        </c:ser>
        <c:hiLowLines>
          <c:spPr>
            <a:ln w="0">
              <a:noFill/>
            </a:ln>
          </c:spPr>
        </c:hiLowLines>
        <c:marker val="0"/>
        <c:axId val="96955898"/>
        <c:axId val="44633784"/>
      </c:lineChart>
      <c:catAx>
        <c:axId val="9695589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633784"/>
        <c:crosses val="autoZero"/>
        <c:auto val="1"/>
        <c:lblAlgn val="ctr"/>
        <c:lblOffset val="100"/>
        <c:noMultiLvlLbl val="0"/>
      </c:catAx>
      <c:valAx>
        <c:axId val="44633784"/>
        <c:scaling>
          <c:orientation val="minMax"/>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95589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 Structure by Year (₹ Lakh)</a:t>
            </a:r>
          </a:p>
        </c:rich>
      </c:tx>
      <c:overlay val="0"/>
      <c:spPr>
        <a:noFill/>
        <a:ln w="0">
          <a:noFill/>
        </a:ln>
      </c:spPr>
    </c:title>
    <c:autoTitleDeleted val="0"/>
    <c:plotArea>
      <c:barChart>
        <c:barDir val="col"/>
        <c:grouping val="stacked"/>
        <c:varyColors val="0"/>
        <c:ser>
          <c:idx val="0"/>
          <c:order val="0"/>
          <c:tx>
            <c:strRef>
              <c:f>'P&amp;L Statement'!B7</c:f>
              <c:strCache>
                <c:ptCount val="1"/>
                <c:pt idx="0">
                  <c:v>   Cost of Goods Sold (COGS)</c:v>
                </c:pt>
              </c:strCache>
            </c:strRef>
          </c:tx>
          <c:spPr>
            <a:solidFill>
              <a:srgbClr val="3b3b3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'P&amp;L Statement'!$C$4:$E$4</c:f>
              <c:strCache>
                <c:ptCount val="3"/>
                <c:pt idx="0">
                  <c:v>Year 1</c:v>
                </c:pt>
                <c:pt idx="1">
                  <c:v>Year 2</c:v>
                </c:pt>
                <c:pt idx="2">
                  <c:v>Year 3</c:v>
                </c:pt>
              </c:strCache>
            </c:strRef>
          </c:cat>
          <c:val>
            <c:numRef>
              <c:f>'P&amp;L Statement'!$C$7:$E$7</c:f>
              <c:numCache>
                <c:formatCode>#,##0.00;\(#,##0.00\);\-</c:formatCode>
                <c:ptCount val="3"/>
                <c:pt idx="0">
                  <c:v>20.412</c:v>
                </c:pt>
                <c:pt idx="1">
                  <c:v>72.576</c:v>
                </c:pt>
                <c:pt idx="2">
                  <c:v>166.32</c:v>
                </c:pt>
              </c:numCache>
            </c:numRef>
          </c:val>
        </c:ser>
        <c:ser>
          <c:idx val="1"/>
          <c:order val="1"/>
          <c:tx>
            <c:strRef>
              <c:f>'P&amp;L Statement'!B12</c:f>
              <c:strCache>
                <c:ptCount val="1"/>
                <c:pt idx="0">
                  <c:v>   Marketing</c:v>
                </c:pt>
              </c:strCache>
            </c:strRef>
          </c:tx>
          <c:spPr>
            <a:solidFill>
              <a:srgbClr val="73737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'P&amp;L Statement'!$C$4:$E$4</c:f>
              <c:strCache>
                <c:ptCount val="3"/>
                <c:pt idx="0">
                  <c:v>Year 1</c:v>
                </c:pt>
                <c:pt idx="1">
                  <c:v>Year 2</c:v>
                </c:pt>
                <c:pt idx="2">
                  <c:v>Year 3</c:v>
                </c:pt>
              </c:strCache>
            </c:strRef>
          </c:cat>
          <c:val>
            <c:numRef>
              <c:f>'P&amp;L Statement'!$C$12:$E$12</c:f>
              <c:numCache>
                <c:formatCode>#,##0.00;\(#,##0.00\);\-</c:formatCode>
                <c:ptCount val="3"/>
                <c:pt idx="0">
                  <c:v>13.608</c:v>
                </c:pt>
                <c:pt idx="1">
                  <c:v>48.384</c:v>
                </c:pt>
                <c:pt idx="2">
                  <c:v>110.88</c:v>
                </c:pt>
              </c:numCache>
            </c:numRef>
          </c:val>
        </c:ser>
        <c:ser>
          <c:idx val="2"/>
          <c:order val="2"/>
          <c:tx>
            <c:strRef>
              <c:f>'P&amp;L Statement'!B13</c:f>
              <c:strCache>
                <c:ptCount val="1"/>
                <c:pt idx="0">
                  <c:v>   Logistics</c:v>
                </c:pt>
              </c:strCache>
            </c:strRef>
          </c:tx>
          <c:spPr>
            <a:solidFill>
              <a:srgbClr val="a6a6a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'P&amp;L Statement'!$C$4:$E$4</c:f>
              <c:strCache>
                <c:ptCount val="3"/>
                <c:pt idx="0">
                  <c:v>Year 1</c:v>
                </c:pt>
                <c:pt idx="1">
                  <c:v>Year 2</c:v>
                </c:pt>
                <c:pt idx="2">
                  <c:v>Year 3</c:v>
                </c:pt>
              </c:strCache>
            </c:strRef>
          </c:cat>
          <c:val>
            <c:numRef>
              <c:f>'P&amp;L Statement'!$C$13:$E$13</c:f>
              <c:numCache>
                <c:formatCode>#,##0.00;\(#,##0.00\);\-</c:formatCode>
                <c:ptCount val="3"/>
                <c:pt idx="0">
                  <c:v>7.29</c:v>
                </c:pt>
                <c:pt idx="1">
                  <c:v>25.92</c:v>
                </c:pt>
                <c:pt idx="2">
                  <c:v>59.4</c:v>
                </c:pt>
              </c:numCache>
            </c:numRef>
          </c:val>
        </c:ser>
        <c:ser>
          <c:idx val="3"/>
          <c:order val="3"/>
          <c:tx>
            <c:strRef>
              <c:f>'P&amp;L Statement'!B14</c:f>
              <c:strCache>
                <c:ptCount val="1"/>
                <c:pt idx="0">
                  <c:v>   Administrative Expenses (Overhead)</c:v>
                </c:pt>
              </c:strCache>
            </c:strRef>
          </c:tx>
          <c:spPr>
            <a:solidFill>
              <a:srgbClr val="d9d9d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'P&amp;L Statement'!$C$4:$E$4</c:f>
              <c:strCache>
                <c:ptCount val="3"/>
                <c:pt idx="0">
                  <c:v>Year 1</c:v>
                </c:pt>
                <c:pt idx="1">
                  <c:v>Year 2</c:v>
                </c:pt>
                <c:pt idx="2">
                  <c:v>Year 3</c:v>
                </c:pt>
              </c:strCache>
            </c:strRef>
          </c:cat>
          <c:val>
            <c:numRef>
              <c:f>'P&amp;L Statement'!$C$14:$E$14</c:f>
              <c:numCache>
                <c:formatCode>#,##0.00;\(#,##0.00\);\-</c:formatCode>
                <c:ptCount val="3"/>
                <c:pt idx="0">
                  <c:v>7.29</c:v>
                </c:pt>
                <c:pt idx="1">
                  <c:v>25.92</c:v>
                </c:pt>
                <c:pt idx="2">
                  <c:v>59.4</c:v>
                </c:pt>
              </c:numCache>
            </c:numRef>
          </c:val>
        </c:ser>
        <c:gapWidth val="150"/>
        <c:overlap val="100"/>
        <c:axId val="57768108"/>
        <c:axId val="16248853"/>
      </c:barChart>
      <c:catAx>
        <c:axId val="577681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248853"/>
        <c:crosses val="autoZero"/>
        <c:auto val="1"/>
        <c:lblAlgn val="ctr"/>
        <c:lblOffset val="100"/>
        <c:noMultiLvlLbl val="0"/>
      </c:catAx>
      <c:valAx>
        <c:axId val="16248853"/>
        <c:scaling>
          <c:orientation val="minMax"/>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76810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Break-even Chart — Revenue vs. Total Cost</a:t>
            </a:r>
          </a:p>
        </c:rich>
      </c:tx>
      <c:overlay val="0"/>
      <c:spPr>
        <a:noFill/>
        <a:ln w="0">
          <a:noFill/>
        </a:ln>
      </c:spPr>
    </c:title>
    <c:autoTitleDeleted val="0"/>
    <c:plotArea>
      <c:lineChart>
        <c:grouping val="standard"/>
        <c:varyColors val="0"/>
        <c:ser>
          <c:idx val="0"/>
          <c:order val="0"/>
          <c:tx>
            <c:strRef>
              <c:f>'Break-even Analysis'!C26</c:f>
              <c:strCache>
                <c:ptCount val="1"/>
                <c:pt idx="0">
                  <c:v>Total Revenue (₹)</c:v>
                </c:pt>
              </c:strCache>
            </c:strRef>
          </c:tx>
          <c:spPr>
            <a:solidFill>
              <a:srgbClr val="3b3b3b"/>
            </a:solidFill>
            <a:ln w="25920">
              <a:solidFill>
                <a:srgbClr val="3b3b3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'Break-even Analysis'!$B$27:$B$37</c:f>
              <c:strCache>
                <c:ptCount val="11"/>
                <c:pt idx="0">
                  <c:v>-</c:v>
                </c:pt>
                <c:pt idx="1">
                  <c:v>2,000</c:v>
                </c:pt>
                <c:pt idx="2">
                  <c:v>4,000</c:v>
                </c:pt>
                <c:pt idx="3">
                  <c:v>6,000</c:v>
                </c:pt>
                <c:pt idx="4">
                  <c:v>8,000</c:v>
                </c:pt>
                <c:pt idx="5">
                  <c:v>10,000</c:v>
                </c:pt>
                <c:pt idx="6">
                  <c:v>12,000</c:v>
                </c:pt>
                <c:pt idx="7">
                  <c:v>14,000</c:v>
                </c:pt>
                <c:pt idx="8">
                  <c:v>16,000</c:v>
                </c:pt>
                <c:pt idx="9">
                  <c:v>18,000</c:v>
                </c:pt>
                <c:pt idx="10">
                  <c:v>20,000</c:v>
                </c:pt>
              </c:strCache>
            </c:strRef>
          </c:cat>
          <c:val>
            <c:numRef>
              <c:f>'Break-even Analysis'!$C$27:$C$37</c:f>
              <c:numCache>
                <c:formatCode>#,##0;\(#,##0\);\-</c:formatCode>
                <c:ptCount val="11"/>
                <c:pt idx="0">
                  <c:v>0</c:v>
                </c:pt>
                <c:pt idx="1">
                  <c:v>260000</c:v>
                </c:pt>
                <c:pt idx="2">
                  <c:v>520000</c:v>
                </c:pt>
                <c:pt idx="3">
                  <c:v>780000</c:v>
                </c:pt>
                <c:pt idx="4">
                  <c:v>1040000</c:v>
                </c:pt>
                <c:pt idx="5">
                  <c:v>1300000</c:v>
                </c:pt>
                <c:pt idx="6">
                  <c:v>1560000</c:v>
                </c:pt>
                <c:pt idx="7">
                  <c:v>1820000</c:v>
                </c:pt>
                <c:pt idx="8">
                  <c:v>2080000</c:v>
                </c:pt>
                <c:pt idx="9">
                  <c:v>2340000</c:v>
                </c:pt>
                <c:pt idx="10">
                  <c:v>2600000</c:v>
                </c:pt>
              </c:numCache>
            </c:numRef>
          </c:val>
          <c:smooth val="1"/>
        </c:ser>
        <c:ser>
          <c:idx val="1"/>
          <c:order val="1"/>
          <c:tx>
            <c:strRef>
              <c:f>'Break-even Analysis'!D26</c:f>
              <c:strCache>
                <c:ptCount val="1"/>
                <c:pt idx="0">
                  <c:v>Total Cost (₹)</c:v>
                </c:pt>
              </c:strCache>
            </c:strRef>
          </c:tx>
          <c:spPr>
            <a:solidFill>
              <a:srgbClr val="c00000"/>
            </a:solidFill>
            <a:ln w="2592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'Break-even Analysis'!$B$27:$B$37</c:f>
              <c:strCache>
                <c:ptCount val="11"/>
                <c:pt idx="0">
                  <c:v>-</c:v>
                </c:pt>
                <c:pt idx="1">
                  <c:v>2,000</c:v>
                </c:pt>
                <c:pt idx="2">
                  <c:v>4,000</c:v>
                </c:pt>
                <c:pt idx="3">
                  <c:v>6,000</c:v>
                </c:pt>
                <c:pt idx="4">
                  <c:v>8,000</c:v>
                </c:pt>
                <c:pt idx="5">
                  <c:v>10,000</c:v>
                </c:pt>
                <c:pt idx="6">
                  <c:v>12,000</c:v>
                </c:pt>
                <c:pt idx="7">
                  <c:v>14,000</c:v>
                </c:pt>
                <c:pt idx="8">
                  <c:v>16,000</c:v>
                </c:pt>
                <c:pt idx="9">
                  <c:v>18,000</c:v>
                </c:pt>
                <c:pt idx="10">
                  <c:v>20,000</c:v>
                </c:pt>
              </c:strCache>
            </c:strRef>
          </c:cat>
          <c:val>
            <c:numRef>
              <c:f>'Break-even Analysis'!$D$27:$D$37</c:f>
              <c:numCache>
                <c:formatCode>#,##0;\(#,##0\);\-</c:formatCode>
                <c:ptCount val="11"/>
                <c:pt idx="0">
                  <c:v>729000</c:v>
                </c:pt>
                <c:pt idx="1">
                  <c:v>849000</c:v>
                </c:pt>
                <c:pt idx="2">
                  <c:v>969000</c:v>
                </c:pt>
                <c:pt idx="3">
                  <c:v>1089000</c:v>
                </c:pt>
                <c:pt idx="4">
                  <c:v>1209000</c:v>
                </c:pt>
                <c:pt idx="5">
                  <c:v>1329000</c:v>
                </c:pt>
                <c:pt idx="6">
                  <c:v>1449000</c:v>
                </c:pt>
                <c:pt idx="7">
                  <c:v>1569000</c:v>
                </c:pt>
                <c:pt idx="8">
                  <c:v>1689000</c:v>
                </c:pt>
                <c:pt idx="9">
                  <c:v>1809000</c:v>
                </c:pt>
                <c:pt idx="10">
                  <c:v>1929000</c:v>
                </c:pt>
              </c:numCache>
            </c:numRef>
          </c:val>
          <c:smooth val="1"/>
        </c:ser>
        <c:hiLowLines>
          <c:spPr>
            <a:ln w="0">
              <a:noFill/>
            </a:ln>
          </c:spPr>
        </c:hiLowLines>
        <c:marker val="0"/>
        <c:axId val="40764346"/>
        <c:axId val="4395261"/>
      </c:lineChart>
      <c:catAx>
        <c:axId val="4076434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Units Sold</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95261"/>
        <c:crosses val="autoZero"/>
        <c:auto val="1"/>
        <c:lblAlgn val="ctr"/>
        <c:lblOffset val="100"/>
        <c:noMultiLvlLbl val="0"/>
      </c:catAx>
      <c:valAx>
        <c:axId val="43952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76434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
</Relationships>
</file>

<file path=xl/drawings/_rels/drawing3.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
</Relationships>
</file>

<file path=xl/drawings/_rels/drawing4.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
</Relationships>
</file>

<file path=xl/drawings/_rels/drawing5.xml.rels><?xml version="1.0" encoding="UTF-8"?>
<Relationships xmlns="http://schemas.openxmlformats.org/package/2006/relationships"><Relationship Id="rId1"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11</xdr:row>
      <xdr:rowOff>11520</xdr:rowOff>
    </xdr:from>
    <xdr:to>
      <xdr:col>5</xdr:col>
      <xdr:colOff>888480</xdr:colOff>
      <xdr:row>27</xdr:row>
      <xdr:rowOff>23040</xdr:rowOff>
    </xdr:to>
    <xdr:graphicFrame>
      <xdr:nvGraphicFramePr>
        <xdr:cNvPr id="0" name="Chart 1"/>
        <xdr:cNvGraphicFramePr/>
      </xdr:nvGraphicFramePr>
      <xdr:xfrm>
        <a:off x="211320" y="2610000"/>
        <a:ext cx="53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11</xdr:row>
      <xdr:rowOff>11520</xdr:rowOff>
    </xdr:from>
    <xdr:to>
      <xdr:col>11</xdr:col>
      <xdr:colOff>65520</xdr:colOff>
      <xdr:row>27</xdr:row>
      <xdr:rowOff>23040</xdr:rowOff>
    </xdr:to>
    <xdr:graphicFrame>
      <xdr:nvGraphicFramePr>
        <xdr:cNvPr id="1" name="Chart 2"/>
        <xdr:cNvGraphicFramePr/>
      </xdr:nvGraphicFramePr>
      <xdr:xfrm>
        <a:off x="4722480" y="2610000"/>
        <a:ext cx="539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11520</xdr:rowOff>
    </xdr:from>
    <xdr:to>
      <xdr:col>5</xdr:col>
      <xdr:colOff>888480</xdr:colOff>
      <xdr:row>52</xdr:row>
      <xdr:rowOff>23040</xdr:rowOff>
    </xdr:to>
    <xdr:graphicFrame>
      <xdr:nvGraphicFramePr>
        <xdr:cNvPr id="2" name="Chart 3"/>
        <xdr:cNvGraphicFramePr/>
      </xdr:nvGraphicFramePr>
      <xdr:xfrm>
        <a:off x="211320" y="7372440"/>
        <a:ext cx="539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36</xdr:row>
      <xdr:rowOff>11520</xdr:rowOff>
    </xdr:from>
    <xdr:to>
      <xdr:col>11</xdr:col>
      <xdr:colOff>65520</xdr:colOff>
      <xdr:row>52</xdr:row>
      <xdr:rowOff>23040</xdr:rowOff>
    </xdr:to>
    <xdr:graphicFrame>
      <xdr:nvGraphicFramePr>
        <xdr:cNvPr id="3" name="Chart 4"/>
        <xdr:cNvGraphicFramePr/>
      </xdr:nvGraphicFramePr>
      <xdr:xfrm>
        <a:off x="4722480" y="7372440"/>
        <a:ext cx="539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18</xdr:row>
      <xdr:rowOff>0</xdr:rowOff>
    </xdr:from>
    <xdr:to>
      <xdr:col>2</xdr:col>
      <xdr:colOff>2940120</xdr:colOff>
      <xdr:row>35</xdr:row>
      <xdr:rowOff>181080</xdr:rowOff>
    </xdr:to>
    <xdr:graphicFrame>
      <xdr:nvGraphicFramePr>
        <xdr:cNvPr id="4" name="Chart 1"/>
        <xdr:cNvGraphicFramePr/>
      </xdr:nvGraphicFramePr>
      <xdr:xfrm>
        <a:off x="281880" y="3924360"/>
        <a:ext cx="575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12</xdr:row>
      <xdr:rowOff>0</xdr:rowOff>
    </xdr:from>
    <xdr:to>
      <xdr:col>5</xdr:col>
      <xdr:colOff>42840</xdr:colOff>
      <xdr:row>29</xdr:row>
      <xdr:rowOff>1080</xdr:rowOff>
    </xdr:to>
    <xdr:graphicFrame>
      <xdr:nvGraphicFramePr>
        <xdr:cNvPr id="5" name="Chart 1"/>
        <xdr:cNvGraphicFramePr/>
      </xdr:nvGraphicFramePr>
      <xdr:xfrm>
        <a:off x="281880" y="2886120"/>
        <a:ext cx="53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12</xdr:row>
      <xdr:rowOff>0</xdr:rowOff>
    </xdr:from>
    <xdr:to>
      <xdr:col>13</xdr:col>
      <xdr:colOff>320760</xdr:colOff>
      <xdr:row>29</xdr:row>
      <xdr:rowOff>1080</xdr:rowOff>
    </xdr:to>
    <xdr:graphicFrame>
      <xdr:nvGraphicFramePr>
        <xdr:cNvPr id="6" name="Chart 2"/>
        <xdr:cNvGraphicFramePr/>
      </xdr:nvGraphicFramePr>
      <xdr:xfrm>
        <a:off x="5638680" y="2886120"/>
        <a:ext cx="539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24</xdr:row>
      <xdr:rowOff>0</xdr:rowOff>
    </xdr:from>
    <xdr:to>
      <xdr:col>5</xdr:col>
      <xdr:colOff>621720</xdr:colOff>
      <xdr:row>41</xdr:row>
      <xdr:rowOff>181440</xdr:rowOff>
    </xdr:to>
    <xdr:graphicFrame>
      <xdr:nvGraphicFramePr>
        <xdr:cNvPr id="7" name="Chart 1"/>
        <xdr:cNvGraphicFramePr/>
      </xdr:nvGraphicFramePr>
      <xdr:xfrm>
        <a:off x="281880" y="5143680"/>
        <a:ext cx="611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24</xdr:row>
      <xdr:rowOff>0</xdr:rowOff>
    </xdr:from>
    <xdr:to>
      <xdr:col>16</xdr:col>
      <xdr:colOff>334440</xdr:colOff>
      <xdr:row>41</xdr:row>
      <xdr:rowOff>181440</xdr:rowOff>
    </xdr:to>
    <xdr:graphicFrame>
      <xdr:nvGraphicFramePr>
        <xdr:cNvPr id="8" name="Chart 2"/>
        <xdr:cNvGraphicFramePr/>
      </xdr:nvGraphicFramePr>
      <xdr:xfrm>
        <a:off x="6907680" y="5143680"/>
        <a:ext cx="6119640" cy="34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38</xdr:row>
      <xdr:rowOff>0</xdr:rowOff>
    </xdr:from>
    <xdr:to>
      <xdr:col>3</xdr:col>
      <xdr:colOff>3111480</xdr:colOff>
      <xdr:row>56</xdr:row>
      <xdr:rowOff>170640</xdr:rowOff>
    </xdr:to>
    <xdr:graphicFrame>
      <xdr:nvGraphicFramePr>
        <xdr:cNvPr id="9" name="Chart 1"/>
        <xdr:cNvGraphicFramePr/>
      </xdr:nvGraphicFramePr>
      <xdr:xfrm>
        <a:off x="281880" y="8362800"/>
        <a:ext cx="719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3B3B"/>
    <pageSetUpPr fitToPage="true"/>
  </sheetPr>
  <dimension ref="A1:I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9" min="2" style="0" width="16"/>
    <col collapsed="false" customWidth="true" hidden="false" outlineLevel="0" max="10" min="10" style="0" width="3"/>
  </cols>
  <sheetData>
    <row r="1" customFormat="false" ht="39.75" hidden="false" customHeight="true" outlineLevel="0" collapsed="false">
      <c r="A1" s="1" t="s">
        <v>0</v>
      </c>
      <c r="B1" s="1"/>
      <c r="C1" s="1"/>
      <c r="D1" s="1"/>
      <c r="E1" s="1"/>
      <c r="F1" s="1"/>
      <c r="G1" s="1"/>
      <c r="H1" s="1"/>
      <c r="I1" s="1"/>
    </row>
    <row r="2" customFormat="false" ht="15.75" hidden="false" customHeight="true" outlineLevel="0" collapsed="false">
      <c r="A2" s="2" t="s">
        <v>1</v>
      </c>
      <c r="B2" s="2"/>
      <c r="C2" s="2"/>
      <c r="D2" s="2"/>
      <c r="E2" s="2"/>
      <c r="F2" s="2"/>
      <c r="G2" s="2"/>
      <c r="H2" s="2"/>
      <c r="I2" s="2"/>
    </row>
    <row r="4" customFormat="false" ht="15" hidden="false" customHeight="true" outlineLevel="0" collapsed="false">
      <c r="B4" s="3" t="s">
        <v>2</v>
      </c>
      <c r="C4" s="3"/>
      <c r="D4" s="3" t="s">
        <v>3</v>
      </c>
      <c r="E4" s="3"/>
      <c r="F4" s="3" t="s">
        <v>4</v>
      </c>
      <c r="G4" s="3"/>
      <c r="H4" s="3" t="s">
        <v>5</v>
      </c>
      <c r="I4" s="3"/>
    </row>
    <row r="5" customFormat="false" ht="22.05" hidden="false" customHeight="false" outlineLevel="0" collapsed="false">
      <c r="B5" s="4" t="n">
        <f aca="false">'Startup Cost'!D15</f>
        <v>920000</v>
      </c>
      <c r="C5" s="4"/>
      <c r="D5" s="5" t="n">
        <f aca="false">'Revenue Projection'!E7</f>
        <v>450</v>
      </c>
      <c r="E5" s="5"/>
      <c r="F5" s="5" t="n">
        <f aca="false">'P&amp;L Statement'!E19</f>
        <v>40.5</v>
      </c>
      <c r="G5" s="5"/>
      <c r="H5" s="6" t="n">
        <f aca="false">Assumptions!C11</f>
        <v>0.538461538461538</v>
      </c>
      <c r="I5" s="6"/>
    </row>
    <row r="6" customFormat="false" ht="15" hidden="false" customHeight="false" outlineLevel="0" collapsed="false">
      <c r="B6" s="7" t="s">
        <v>6</v>
      </c>
      <c r="C6" s="7"/>
      <c r="D6" s="7" t="s">
        <v>7</v>
      </c>
      <c r="E6" s="7"/>
      <c r="F6" s="7" t="s">
        <v>7</v>
      </c>
      <c r="G6" s="7"/>
      <c r="H6" s="8"/>
      <c r="I6" s="8"/>
    </row>
    <row r="8" customFormat="false" ht="15" hidden="false" customHeight="true" outlineLevel="0" collapsed="false">
      <c r="B8" s="3" t="s">
        <v>8</v>
      </c>
      <c r="C8" s="3"/>
      <c r="D8" s="3" t="s">
        <v>9</v>
      </c>
      <c r="E8" s="3"/>
      <c r="F8" s="3" t="s">
        <v>10</v>
      </c>
      <c r="G8" s="3"/>
      <c r="H8" s="3" t="s">
        <v>11</v>
      </c>
      <c r="I8" s="3"/>
    </row>
    <row r="9" customFormat="false" ht="22.05" hidden="false" customHeight="false" outlineLevel="0" collapsed="false">
      <c r="B9" s="4" t="n">
        <f aca="false">'Break-even Analysis'!C14</f>
        <v>10414.2857142857</v>
      </c>
      <c r="C9" s="4"/>
      <c r="D9" s="4" t="n">
        <f aca="false">'Revenue Projection'!C7</f>
        <v>346153.846153846</v>
      </c>
      <c r="E9" s="4"/>
      <c r="F9" s="6" t="n">
        <f aca="false">'Revenue Projection'!E8</f>
        <v>2.16227766016838</v>
      </c>
      <c r="G9" s="6"/>
      <c r="H9" s="6" t="n">
        <f aca="false">'P&amp;L Statement'!E20</f>
        <v>0.09</v>
      </c>
      <c r="I9" s="6"/>
    </row>
    <row r="10" customFormat="false" ht="15" hidden="false" customHeight="false" outlineLevel="0" collapsed="false">
      <c r="B10" s="7" t="s">
        <v>12</v>
      </c>
      <c r="C10" s="7"/>
      <c r="D10" s="7" t="s">
        <v>12</v>
      </c>
      <c r="E10" s="7"/>
      <c r="F10" s="8"/>
      <c r="G10" s="8"/>
      <c r="H10" s="8"/>
      <c r="I10" s="8"/>
    </row>
    <row r="31" customFormat="false" ht="15" hidden="false" customHeight="false" outlineLevel="0" collapsed="false">
      <c r="B31" s="9" t="s">
        <v>13</v>
      </c>
      <c r="C31" s="9" t="s">
        <v>14</v>
      </c>
    </row>
    <row r="32" customFormat="false" ht="15" hidden="false" customHeight="false" outlineLevel="0" collapsed="false">
      <c r="B32" s="10" t="s">
        <v>15</v>
      </c>
      <c r="C32" s="11" t="n">
        <f aca="false">'P&amp;L Statement'!E7</f>
        <v>166.32</v>
      </c>
    </row>
    <row r="33" customFormat="false" ht="15" hidden="false" customHeight="false" outlineLevel="0" collapsed="false">
      <c r="B33" s="12" t="s">
        <v>16</v>
      </c>
      <c r="C33" s="13" t="n">
        <f aca="false">'P&amp;L Statement'!E12</f>
        <v>110.88</v>
      </c>
    </row>
    <row r="34" customFormat="false" ht="15" hidden="false" customHeight="false" outlineLevel="0" collapsed="false">
      <c r="B34" s="10" t="s">
        <v>17</v>
      </c>
      <c r="C34" s="11" t="n">
        <f aca="false">'P&amp;L Statement'!E13</f>
        <v>59.4</v>
      </c>
    </row>
    <row r="35" customFormat="false" ht="15" hidden="false" customHeight="false" outlineLevel="0" collapsed="false">
      <c r="B35" s="12" t="s">
        <v>18</v>
      </c>
      <c r="C35" s="13" t="n">
        <f aca="false">'P&amp;L Statement'!E14</f>
        <v>59.4</v>
      </c>
    </row>
  </sheetData>
  <mergeCells count="23">
    <mergeCell ref="A1:I1"/>
    <mergeCell ref="A2:I2"/>
    <mergeCell ref="B4:C4"/>
    <mergeCell ref="D4:E4"/>
    <mergeCell ref="F4:G4"/>
    <mergeCell ref="H4:I4"/>
    <mergeCell ref="B5:C5"/>
    <mergeCell ref="D5:E5"/>
    <mergeCell ref="F5:G5"/>
    <mergeCell ref="H5:I5"/>
    <mergeCell ref="B6:C6"/>
    <mergeCell ref="D6:E6"/>
    <mergeCell ref="F6:G6"/>
    <mergeCell ref="B8:C8"/>
    <mergeCell ref="D8:E8"/>
    <mergeCell ref="F8:G8"/>
    <mergeCell ref="H8:I8"/>
    <mergeCell ref="B9:C9"/>
    <mergeCell ref="D9:E9"/>
    <mergeCell ref="F9:G9"/>
    <mergeCell ref="H9:I9"/>
    <mergeCell ref="B10:C10"/>
    <mergeCell ref="D10:E10"/>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8C8C"/>
    <pageSetUpPr fitToPage="true"/>
  </sheetPr>
  <dimension ref="A1:F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6"/>
    <col collapsed="false" customWidth="true" hidden="false" outlineLevel="0" max="4" min="4" style="0" width="14"/>
    <col collapsed="false" customWidth="true" hidden="false" outlineLevel="0" max="5" min="5" style="0" width="46"/>
    <col collapsed="false" customWidth="true" hidden="false" outlineLevel="0" max="7" min="6" style="0" width="4"/>
  </cols>
  <sheetData>
    <row r="1" customFormat="false" ht="33.75" hidden="false" customHeight="true" outlineLevel="0" collapsed="false">
      <c r="A1" s="1" t="s">
        <v>19</v>
      </c>
      <c r="B1" s="1"/>
      <c r="C1" s="1"/>
      <c r="D1" s="1"/>
      <c r="E1" s="1"/>
      <c r="F1" s="1"/>
    </row>
    <row r="2" customFormat="false" ht="15.75" hidden="false" customHeight="true" outlineLevel="0" collapsed="false">
      <c r="A2" s="2" t="s">
        <v>20</v>
      </c>
      <c r="B2" s="2"/>
      <c r="C2" s="2"/>
      <c r="D2" s="2"/>
      <c r="E2" s="2"/>
      <c r="F2" s="2"/>
    </row>
    <row r="4" customFormat="false" ht="19.5" hidden="false" customHeight="true" outlineLevel="0" collapsed="false">
      <c r="B4" s="14" t="s">
        <v>21</v>
      </c>
      <c r="C4" s="14"/>
      <c r="D4" s="14"/>
      <c r="E4" s="14"/>
    </row>
    <row r="5" customFormat="false" ht="27.75" hidden="false" customHeight="true" outlineLevel="0" collapsed="false">
      <c r="B5" s="15" t="s">
        <v>22</v>
      </c>
      <c r="C5" s="15" t="s">
        <v>23</v>
      </c>
      <c r="D5" s="15" t="s">
        <v>24</v>
      </c>
    </row>
    <row r="6" customFormat="false" ht="15" hidden="false" customHeight="false" outlineLevel="0" collapsed="false">
      <c r="B6" s="10" t="s">
        <v>25</v>
      </c>
      <c r="C6" s="16" t="n">
        <v>130</v>
      </c>
      <c r="D6" s="17"/>
      <c r="E6" s="18" t="s">
        <v>26</v>
      </c>
    </row>
    <row r="7" customFormat="false" ht="15" hidden="false" customHeight="false" outlineLevel="0" collapsed="false">
      <c r="B7" s="12" t="s">
        <v>27</v>
      </c>
      <c r="C7" s="19" t="n">
        <v>45</v>
      </c>
      <c r="D7" s="20"/>
      <c r="E7" s="21" t="s">
        <v>28</v>
      </c>
    </row>
    <row r="8" customFormat="false" ht="15" hidden="false" customHeight="false" outlineLevel="0" collapsed="false">
      <c r="B8" s="10" t="s">
        <v>29</v>
      </c>
      <c r="C8" s="16" t="n">
        <v>15</v>
      </c>
      <c r="D8" s="17"/>
      <c r="E8" s="18" t="s">
        <v>30</v>
      </c>
    </row>
    <row r="9" customFormat="false" ht="15" hidden="false" customHeight="false" outlineLevel="0" collapsed="false">
      <c r="B9" s="22" t="s">
        <v>31</v>
      </c>
      <c r="C9" s="23" t="n">
        <f aca="false">C7+C8</f>
        <v>60</v>
      </c>
      <c r="D9" s="20"/>
      <c r="E9" s="21" t="s">
        <v>32</v>
      </c>
    </row>
    <row r="10" customFormat="false" ht="15" hidden="false" customHeight="false" outlineLevel="0" collapsed="false">
      <c r="B10" s="24" t="s">
        <v>33</v>
      </c>
      <c r="C10" s="25" t="n">
        <f aca="false">C6-C9</f>
        <v>70</v>
      </c>
      <c r="D10" s="17"/>
      <c r="E10" s="18" t="s">
        <v>34</v>
      </c>
    </row>
    <row r="11" customFormat="false" ht="15" hidden="false" customHeight="false" outlineLevel="0" collapsed="false">
      <c r="B11" s="22" t="s">
        <v>35</v>
      </c>
      <c r="C11" s="26" t="n">
        <f aca="false">C10/C6</f>
        <v>0.538461538461538</v>
      </c>
      <c r="D11" s="20"/>
      <c r="E11" s="21" t="s">
        <v>36</v>
      </c>
    </row>
    <row r="13" customFormat="false" ht="19.5" hidden="false" customHeight="true" outlineLevel="0" collapsed="false">
      <c r="B13" s="14" t="s">
        <v>37</v>
      </c>
      <c r="C13" s="14"/>
      <c r="D13" s="14"/>
      <c r="E13" s="14"/>
    </row>
    <row r="14" customFormat="false" ht="27.75" hidden="false" customHeight="true" outlineLevel="0" collapsed="false">
      <c r="B14" s="15" t="s">
        <v>22</v>
      </c>
      <c r="C14" s="15" t="s">
        <v>23</v>
      </c>
      <c r="D14" s="15" t="s">
        <v>24</v>
      </c>
    </row>
    <row r="15" customFormat="false" ht="15" hidden="false" customHeight="false" outlineLevel="0" collapsed="false">
      <c r="B15" s="12" t="s">
        <v>38</v>
      </c>
      <c r="C15" s="27" t="n">
        <v>45</v>
      </c>
      <c r="D15" s="20"/>
      <c r="E15" s="21" t="s">
        <v>39</v>
      </c>
    </row>
    <row r="16" customFormat="false" ht="15" hidden="false" customHeight="false" outlineLevel="0" collapsed="false">
      <c r="B16" s="10" t="s">
        <v>40</v>
      </c>
      <c r="C16" s="28" t="n">
        <v>180</v>
      </c>
      <c r="D16" s="17"/>
      <c r="E16" s="18" t="s">
        <v>39</v>
      </c>
    </row>
    <row r="17" customFormat="false" ht="15" hidden="false" customHeight="false" outlineLevel="0" collapsed="false">
      <c r="B17" s="12" t="s">
        <v>41</v>
      </c>
      <c r="C17" s="27" t="n">
        <v>450</v>
      </c>
      <c r="D17" s="20"/>
      <c r="E17" s="21" t="s">
        <v>39</v>
      </c>
    </row>
    <row r="18" customFormat="false" ht="15" hidden="false" customHeight="false" outlineLevel="0" collapsed="false">
      <c r="B18" s="10" t="s">
        <v>42</v>
      </c>
      <c r="C18" s="29" t="n">
        <v>4</v>
      </c>
      <c r="D18" s="17"/>
      <c r="E18" s="18" t="s">
        <v>39</v>
      </c>
    </row>
    <row r="19" customFormat="false" ht="15" hidden="false" customHeight="false" outlineLevel="0" collapsed="false">
      <c r="B19" s="12" t="s">
        <v>43</v>
      </c>
      <c r="C19" s="30" t="n">
        <v>2.5</v>
      </c>
      <c r="D19" s="20"/>
      <c r="E19" s="21" t="s">
        <v>39</v>
      </c>
    </row>
    <row r="21" customFormat="false" ht="19.5" hidden="false" customHeight="true" outlineLevel="0" collapsed="false">
      <c r="B21" s="14" t="s">
        <v>44</v>
      </c>
      <c r="C21" s="14"/>
      <c r="D21" s="14"/>
      <c r="E21" s="14"/>
    </row>
    <row r="22" customFormat="false" ht="27.75" hidden="false" customHeight="true" outlineLevel="0" collapsed="false">
      <c r="B22" s="15" t="s">
        <v>22</v>
      </c>
      <c r="C22" s="15" t="s">
        <v>23</v>
      </c>
      <c r="D22" s="15" t="s">
        <v>24</v>
      </c>
    </row>
    <row r="23" customFormat="false" ht="15" hidden="false" customHeight="false" outlineLevel="0" collapsed="false">
      <c r="B23" s="12" t="s">
        <v>45</v>
      </c>
      <c r="C23" s="31" t="n">
        <v>0.42</v>
      </c>
      <c r="D23" s="20"/>
      <c r="E23" s="21" t="s">
        <v>46</v>
      </c>
    </row>
    <row r="24" customFormat="false" ht="15" hidden="false" customHeight="false" outlineLevel="0" collapsed="false">
      <c r="B24" s="10" t="s">
        <v>47</v>
      </c>
      <c r="C24" s="32" t="n">
        <v>0.28</v>
      </c>
      <c r="D24" s="17"/>
      <c r="E24" s="18" t="s">
        <v>46</v>
      </c>
    </row>
    <row r="25" customFormat="false" ht="15" hidden="false" customHeight="false" outlineLevel="0" collapsed="false">
      <c r="B25" s="12" t="s">
        <v>48</v>
      </c>
      <c r="C25" s="31" t="n">
        <v>0.15</v>
      </c>
      <c r="D25" s="20"/>
      <c r="E25" s="21" t="s">
        <v>46</v>
      </c>
    </row>
    <row r="26" customFormat="false" ht="15" hidden="false" customHeight="false" outlineLevel="0" collapsed="false">
      <c r="B26" s="10" t="s">
        <v>49</v>
      </c>
      <c r="C26" s="32" t="n">
        <v>0.15</v>
      </c>
      <c r="D26" s="17"/>
      <c r="E26" s="18" t="s">
        <v>46</v>
      </c>
    </row>
    <row r="27" customFormat="false" ht="15" hidden="false" customHeight="false" outlineLevel="0" collapsed="false">
      <c r="B27" s="21" t="s">
        <v>50</v>
      </c>
      <c r="C27" s="33" t="n">
        <f aca="false">SUM(C23:C26)</f>
        <v>1</v>
      </c>
      <c r="D27" s="20"/>
      <c r="E27" s="20"/>
    </row>
    <row r="28" customFormat="false" ht="15" hidden="false" customHeight="false" outlineLevel="0" collapsed="false">
      <c r="B28" s="10" t="s">
        <v>51</v>
      </c>
      <c r="C28" s="32" t="n">
        <v>1.08</v>
      </c>
      <c r="D28" s="17"/>
      <c r="E28" s="18" t="s">
        <v>52</v>
      </c>
    </row>
    <row r="29" customFormat="false" ht="15" hidden="false" customHeight="false" outlineLevel="0" collapsed="false">
      <c r="B29" s="12" t="s">
        <v>53</v>
      </c>
      <c r="C29" s="31" t="n">
        <v>0.96</v>
      </c>
      <c r="D29" s="20"/>
      <c r="E29" s="21" t="s">
        <v>54</v>
      </c>
    </row>
    <row r="30" customFormat="false" ht="15" hidden="false" customHeight="false" outlineLevel="0" collapsed="false">
      <c r="B30" s="10" t="s">
        <v>55</v>
      </c>
      <c r="C30" s="32" t="n">
        <v>0.88</v>
      </c>
      <c r="D30" s="17"/>
      <c r="E30" s="18" t="s">
        <v>56</v>
      </c>
    </row>
    <row r="32" customFormat="false" ht="19.5" hidden="false" customHeight="true" outlineLevel="0" collapsed="false">
      <c r="B32" s="14" t="s">
        <v>57</v>
      </c>
      <c r="C32" s="14"/>
      <c r="D32" s="14"/>
      <c r="E32" s="14"/>
    </row>
    <row r="33" customFormat="false" ht="27.75" hidden="false" customHeight="true" outlineLevel="0" collapsed="false">
      <c r="B33" s="15" t="s">
        <v>22</v>
      </c>
      <c r="C33" s="15" t="s">
        <v>23</v>
      </c>
      <c r="D33" s="15" t="s">
        <v>24</v>
      </c>
    </row>
    <row r="34" customFormat="false" ht="15" hidden="false" customHeight="false" outlineLevel="0" collapsed="false">
      <c r="B34" s="10" t="s">
        <v>58</v>
      </c>
      <c r="C34" s="16" t="n">
        <v>920000</v>
      </c>
      <c r="D34" s="17"/>
      <c r="E34" s="18" t="s">
        <v>59</v>
      </c>
    </row>
    <row r="35" customFormat="false" ht="15" hidden="false" customHeight="false" outlineLevel="0" collapsed="false">
      <c r="B35" s="12" t="s">
        <v>60</v>
      </c>
      <c r="C35" s="31" t="n">
        <v>0.25</v>
      </c>
      <c r="D35" s="20"/>
      <c r="E35" s="21" t="s">
        <v>61</v>
      </c>
    </row>
    <row r="36" customFormat="false" ht="15" hidden="false" customHeight="false" outlineLevel="0" collapsed="false">
      <c r="B36" s="10" t="s">
        <v>62</v>
      </c>
      <c r="C36" s="16" t="n">
        <v>80000</v>
      </c>
      <c r="D36" s="17"/>
      <c r="E36" s="18" t="s">
        <v>63</v>
      </c>
    </row>
    <row r="37" customFormat="false" ht="15" hidden="false" customHeight="false" outlineLevel="0" collapsed="false">
      <c r="B37" s="12" t="s">
        <v>64</v>
      </c>
      <c r="C37" s="31" t="n">
        <v>0</v>
      </c>
      <c r="D37" s="20"/>
      <c r="E37" s="21" t="s">
        <v>65</v>
      </c>
    </row>
    <row r="38" customFormat="false" ht="15" hidden="false" customHeight="false" outlineLevel="0" collapsed="false">
      <c r="B38" s="10" t="s">
        <v>66</v>
      </c>
      <c r="C38" s="16" t="n">
        <v>920000</v>
      </c>
      <c r="D38" s="17"/>
      <c r="E38" s="18" t="s">
        <v>67</v>
      </c>
    </row>
    <row r="40" customFormat="false" ht="19.5" hidden="false" customHeight="true" outlineLevel="0" collapsed="false">
      <c r="B40" s="14" t="s">
        <v>68</v>
      </c>
      <c r="C40" s="14"/>
      <c r="D40" s="14"/>
      <c r="E40" s="14"/>
    </row>
    <row r="41" customFormat="false" ht="27.75" hidden="false" customHeight="true" outlineLevel="0" collapsed="false">
      <c r="B41" s="15" t="s">
        <v>22</v>
      </c>
      <c r="C41" s="15" t="s">
        <v>23</v>
      </c>
      <c r="D41" s="15" t="s">
        <v>24</v>
      </c>
    </row>
    <row r="42" customFormat="false" ht="15" hidden="false" customHeight="false" outlineLevel="0" collapsed="false">
      <c r="B42" s="10" t="s">
        <v>69</v>
      </c>
      <c r="C42" s="16" t="n">
        <v>729000</v>
      </c>
      <c r="D42" s="17"/>
      <c r="E42" s="18" t="s">
        <v>70</v>
      </c>
    </row>
    <row r="44" customFormat="false" ht="6" hidden="false" customHeight="true" outlineLevel="0" collapsed="false"/>
    <row r="45" customFormat="false" ht="15" hidden="false" customHeight="false" outlineLevel="0" collapsed="false">
      <c r="B45" s="34" t="s">
        <v>71</v>
      </c>
    </row>
    <row r="46" customFormat="false" ht="15" hidden="false" customHeight="false" outlineLevel="0" collapsed="false">
      <c r="B46" s="34" t="s">
        <v>72</v>
      </c>
    </row>
  </sheetData>
  <mergeCells count="7">
    <mergeCell ref="A1:F1"/>
    <mergeCell ref="A2:F2"/>
    <mergeCell ref="B4:E4"/>
    <mergeCell ref="B13:E13"/>
    <mergeCell ref="B21:E21"/>
    <mergeCell ref="B32:E32"/>
    <mergeCell ref="B40:E40"/>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8C8C"/>
    <pageSetUpPr fitToPage="tru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42"/>
    <col collapsed="false" customWidth="true" hidden="false" outlineLevel="0" max="5" min="4" style="0" width="16"/>
    <col collapsed="false" customWidth="true" hidden="false" outlineLevel="0" max="7" min="6" style="0" width="4"/>
  </cols>
  <sheetData>
    <row r="1" customFormat="false" ht="33.75" hidden="false" customHeight="true" outlineLevel="0" collapsed="false">
      <c r="A1" s="1" t="s">
        <v>73</v>
      </c>
      <c r="B1" s="1"/>
      <c r="C1" s="1"/>
      <c r="D1" s="1"/>
      <c r="E1" s="1"/>
      <c r="F1" s="1"/>
    </row>
    <row r="2" customFormat="false" ht="15.75" hidden="false" customHeight="true" outlineLevel="0" collapsed="false">
      <c r="A2" s="2" t="s">
        <v>74</v>
      </c>
      <c r="B2" s="2"/>
      <c r="C2" s="2"/>
      <c r="D2" s="2"/>
      <c r="E2" s="2"/>
      <c r="F2" s="2"/>
    </row>
    <row r="4" customFormat="false" ht="27.75" hidden="false" customHeight="true" outlineLevel="0" collapsed="false">
      <c r="B4" s="15" t="s">
        <v>75</v>
      </c>
      <c r="C4" s="15" t="s">
        <v>76</v>
      </c>
      <c r="D4" s="15" t="s">
        <v>77</v>
      </c>
      <c r="E4" s="15" t="s">
        <v>78</v>
      </c>
    </row>
    <row r="5" customFormat="false" ht="15" hidden="false" customHeight="false" outlineLevel="0" collapsed="false">
      <c r="B5" s="10" t="s">
        <v>79</v>
      </c>
      <c r="C5" s="10" t="s">
        <v>80</v>
      </c>
      <c r="D5" s="16" t="n">
        <v>60000</v>
      </c>
      <c r="E5" s="35" t="n">
        <f aca="false">D5/$D$15</f>
        <v>0.0652173913043478</v>
      </c>
    </row>
    <row r="6" customFormat="false" ht="15" hidden="false" customHeight="false" outlineLevel="0" collapsed="false">
      <c r="B6" s="12" t="s">
        <v>81</v>
      </c>
      <c r="C6" s="12" t="s">
        <v>82</v>
      </c>
      <c r="D6" s="19" t="n">
        <v>150000</v>
      </c>
      <c r="E6" s="26" t="n">
        <f aca="false">D6/$D$15</f>
        <v>0.16304347826087</v>
      </c>
    </row>
    <row r="7" customFormat="false" ht="15" hidden="false" customHeight="false" outlineLevel="0" collapsed="false">
      <c r="B7" s="10" t="s">
        <v>83</v>
      </c>
      <c r="C7" s="10" t="s">
        <v>84</v>
      </c>
      <c r="D7" s="16" t="n">
        <v>270000</v>
      </c>
      <c r="E7" s="35" t="n">
        <f aca="false">D7/$D$15</f>
        <v>0.293478260869565</v>
      </c>
    </row>
    <row r="8" customFormat="false" ht="15" hidden="false" customHeight="false" outlineLevel="0" collapsed="false">
      <c r="B8" s="12" t="s">
        <v>85</v>
      </c>
      <c r="C8" s="12" t="s">
        <v>86</v>
      </c>
      <c r="D8" s="19" t="n">
        <v>80000</v>
      </c>
      <c r="E8" s="26" t="n">
        <f aca="false">D8/$D$15</f>
        <v>0.0869565217391304</v>
      </c>
    </row>
    <row r="9" customFormat="false" ht="15" hidden="false" customHeight="false" outlineLevel="0" collapsed="false">
      <c r="B9" s="10" t="s">
        <v>87</v>
      </c>
      <c r="C9" s="10" t="s">
        <v>88</v>
      </c>
      <c r="D9" s="16" t="n">
        <v>50000</v>
      </c>
      <c r="E9" s="35" t="n">
        <f aca="false">D9/$D$15</f>
        <v>0.0543478260869565</v>
      </c>
    </row>
    <row r="10" customFormat="false" ht="15" hidden="false" customHeight="false" outlineLevel="0" collapsed="false">
      <c r="B10" s="12" t="s">
        <v>89</v>
      </c>
      <c r="C10" s="12" t="s">
        <v>90</v>
      </c>
      <c r="D10" s="19" t="n">
        <v>120000</v>
      </c>
      <c r="E10" s="26" t="n">
        <f aca="false">D10/$D$15</f>
        <v>0.130434782608696</v>
      </c>
    </row>
    <row r="11" customFormat="false" ht="15" hidden="false" customHeight="false" outlineLevel="0" collapsed="false">
      <c r="B11" s="10" t="s">
        <v>91</v>
      </c>
      <c r="C11" s="10" t="s">
        <v>92</v>
      </c>
      <c r="D11" s="16" t="n">
        <v>40000</v>
      </c>
      <c r="E11" s="35" t="n">
        <f aca="false">D11/$D$15</f>
        <v>0.0434782608695652</v>
      </c>
    </row>
    <row r="12" customFormat="false" ht="15" hidden="false" customHeight="false" outlineLevel="0" collapsed="false">
      <c r="B12" s="12" t="s">
        <v>93</v>
      </c>
      <c r="C12" s="12" t="s">
        <v>94</v>
      </c>
      <c r="D12" s="19" t="n">
        <v>30000</v>
      </c>
      <c r="E12" s="26" t="n">
        <f aca="false">D12/$D$15</f>
        <v>0.0326086956521739</v>
      </c>
    </row>
    <row r="13" customFormat="false" ht="15" hidden="false" customHeight="false" outlineLevel="0" collapsed="false">
      <c r="B13" s="10" t="s">
        <v>95</v>
      </c>
      <c r="C13" s="10" t="s">
        <v>96</v>
      </c>
      <c r="D13" s="16" t="n">
        <v>40000</v>
      </c>
      <c r="E13" s="35" t="n">
        <f aca="false">D13/$D$15</f>
        <v>0.0434782608695652</v>
      </c>
    </row>
    <row r="14" customFormat="false" ht="15" hidden="false" customHeight="false" outlineLevel="0" collapsed="false">
      <c r="B14" s="12" t="s">
        <v>97</v>
      </c>
      <c r="C14" s="12" t="s">
        <v>98</v>
      </c>
      <c r="D14" s="19" t="n">
        <v>80000</v>
      </c>
      <c r="E14" s="26" t="n">
        <f aca="false">D14/$D$15</f>
        <v>0.0869565217391304</v>
      </c>
    </row>
    <row r="15" customFormat="false" ht="21.75" hidden="false" customHeight="true" outlineLevel="0" collapsed="false">
      <c r="B15" s="36" t="s">
        <v>99</v>
      </c>
      <c r="C15" s="36"/>
      <c r="D15" s="37" t="n">
        <f aca="false">SUM(D5:D14)</f>
        <v>920000</v>
      </c>
      <c r="E15" s="38" t="n">
        <f aca="false">SUM(E5:E14)</f>
        <v>1</v>
      </c>
    </row>
    <row r="17" customFormat="false" ht="15" hidden="false" customHeight="false" outlineLevel="0" collapsed="false">
      <c r="B17" s="34" t="s">
        <v>100</v>
      </c>
    </row>
    <row r="19" customFormat="false" ht="15" hidden="false" customHeight="false" outlineLevel="0" collapsed="false">
      <c r="B19" s="34" t="s">
        <v>101</v>
      </c>
      <c r="D19" s="39" t="n">
        <f aca="false">Assumptions!C34-D15</f>
        <v>0</v>
      </c>
    </row>
  </sheetData>
  <mergeCells count="2">
    <mergeCell ref="A1:F1"/>
    <mergeCell ref="A2:F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8C8C"/>
    <pageSetUpPr fitToPage="tru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5" min="3" style="0" width="18"/>
    <col collapsed="false" customWidth="true" hidden="false" outlineLevel="0" max="6" min="6" style="0" width="16"/>
    <col collapsed="false" customWidth="true" hidden="false" outlineLevel="0" max="7" min="7" style="0" width="4"/>
  </cols>
  <sheetData>
    <row r="1" customFormat="false" ht="33.75" hidden="false" customHeight="true" outlineLevel="0" collapsed="false">
      <c r="A1" s="1" t="s">
        <v>102</v>
      </c>
      <c r="B1" s="1"/>
      <c r="C1" s="1"/>
      <c r="D1" s="1"/>
      <c r="E1" s="1"/>
      <c r="F1" s="1"/>
    </row>
    <row r="2" customFormat="false" ht="15.75" hidden="false" customHeight="true" outlineLevel="0" collapsed="false">
      <c r="A2" s="2" t="s">
        <v>103</v>
      </c>
      <c r="B2" s="2"/>
      <c r="C2" s="2"/>
      <c r="D2" s="2"/>
      <c r="E2" s="2"/>
      <c r="F2" s="2"/>
    </row>
    <row r="4" customFormat="false" ht="27.75" hidden="false" customHeight="true" outlineLevel="0" collapsed="false">
      <c r="B4" s="15" t="s">
        <v>104</v>
      </c>
      <c r="C4" s="15" t="s">
        <v>105</v>
      </c>
      <c r="D4" s="15" t="s">
        <v>106</v>
      </c>
      <c r="E4" s="15" t="s">
        <v>107</v>
      </c>
      <c r="F4" s="15" t="s">
        <v>108</v>
      </c>
    </row>
    <row r="5" customFormat="false" ht="15" hidden="false" customHeight="false" outlineLevel="0" collapsed="false">
      <c r="B5" s="24" t="s">
        <v>109</v>
      </c>
      <c r="C5" s="40" t="n">
        <f aca="false">Assumptions!C15*100000/Assumptions!$C$6</f>
        <v>34615.3846153846</v>
      </c>
      <c r="D5" s="40" t="n">
        <f aca="false">Assumptions!$C$6</f>
        <v>130</v>
      </c>
      <c r="E5" s="11" t="n">
        <f aca="false">Assumptions!C15</f>
        <v>45</v>
      </c>
      <c r="F5" s="10" t="s">
        <v>110</v>
      </c>
    </row>
    <row r="6" customFormat="false" ht="15" hidden="false" customHeight="false" outlineLevel="0" collapsed="false">
      <c r="B6" s="22" t="s">
        <v>111</v>
      </c>
      <c r="C6" s="41" t="n">
        <f aca="false">Assumptions!C16*100000/Assumptions!$C$6</f>
        <v>138461.538461538</v>
      </c>
      <c r="D6" s="41" t="n">
        <f aca="false">Assumptions!$C$6</f>
        <v>130</v>
      </c>
      <c r="E6" s="13" t="n">
        <f aca="false">Assumptions!C16</f>
        <v>180</v>
      </c>
      <c r="F6" s="42" t="n">
        <f aca="false">E6/E5</f>
        <v>4</v>
      </c>
    </row>
    <row r="7" customFormat="false" ht="15" hidden="false" customHeight="false" outlineLevel="0" collapsed="false">
      <c r="B7" s="24" t="s">
        <v>112</v>
      </c>
      <c r="C7" s="40" t="n">
        <f aca="false">Assumptions!C17*100000/Assumptions!$C$6</f>
        <v>346153.846153846</v>
      </c>
      <c r="D7" s="40" t="n">
        <f aca="false">Assumptions!$C$6</f>
        <v>130</v>
      </c>
      <c r="E7" s="11" t="n">
        <f aca="false">Assumptions!C17</f>
        <v>450</v>
      </c>
      <c r="F7" s="43" t="n">
        <f aca="false">E7/E6</f>
        <v>2.5</v>
      </c>
    </row>
    <row r="8" customFormat="false" ht="15" hidden="false" customHeight="false" outlineLevel="0" collapsed="false">
      <c r="B8" s="44" t="s">
        <v>113</v>
      </c>
      <c r="C8" s="45"/>
      <c r="D8" s="45"/>
      <c r="E8" s="46" t="n">
        <f aca="false">(E7/E5)^(1/2)-1</f>
        <v>2.16227766016838</v>
      </c>
      <c r="F8" s="45"/>
    </row>
    <row r="10" customFormat="false" ht="30" hidden="false" customHeight="true" outlineLevel="0" collapsed="false">
      <c r="B10" s="47" t="s">
        <v>114</v>
      </c>
      <c r="C10" s="47"/>
      <c r="D10" s="47"/>
      <c r="E10" s="47"/>
      <c r="F10" s="47"/>
    </row>
  </sheetData>
  <mergeCells count="3">
    <mergeCell ref="A1:F1"/>
    <mergeCell ref="A2:F2"/>
    <mergeCell ref="B10:F10"/>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8C8C"/>
    <pageSetUpPr fitToPage="tru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6" min="3" style="0" width="16"/>
    <col collapsed="false" customWidth="true" hidden="false" outlineLevel="0" max="7" min="7" style="0" width="4"/>
  </cols>
  <sheetData>
    <row r="1" customFormat="false" ht="33.75" hidden="false" customHeight="true" outlineLevel="0" collapsed="false">
      <c r="A1" s="1" t="s">
        <v>115</v>
      </c>
      <c r="B1" s="1"/>
      <c r="C1" s="1"/>
      <c r="D1" s="1"/>
      <c r="E1" s="1"/>
      <c r="F1" s="1"/>
    </row>
    <row r="2" customFormat="false" ht="15.75" hidden="false" customHeight="true" outlineLevel="0" collapsed="false">
      <c r="A2" s="2" t="s">
        <v>116</v>
      </c>
      <c r="B2" s="2"/>
      <c r="C2" s="2"/>
      <c r="D2" s="2"/>
      <c r="E2" s="2"/>
      <c r="F2" s="2"/>
    </row>
    <row r="4" customFormat="false" ht="27.75" hidden="false" customHeight="true" outlineLevel="0" collapsed="false">
      <c r="B4" s="15" t="s">
        <v>117</v>
      </c>
      <c r="C4" s="15" t="s">
        <v>109</v>
      </c>
      <c r="D4" s="15" t="s">
        <v>111</v>
      </c>
      <c r="E4" s="15" t="s">
        <v>112</v>
      </c>
    </row>
    <row r="5" customFormat="false" ht="15" hidden="false" customHeight="false" outlineLevel="0" collapsed="false">
      <c r="B5" s="24" t="s">
        <v>118</v>
      </c>
      <c r="C5" s="11" t="n">
        <f aca="false">'Revenue Projection'!E5</f>
        <v>45</v>
      </c>
      <c r="D5" s="11" t="n">
        <f aca="false">'Revenue Projection'!E6</f>
        <v>180</v>
      </c>
      <c r="E5" s="11" t="n">
        <f aca="false">'Revenue Projection'!E7</f>
        <v>450</v>
      </c>
    </row>
    <row r="6" customFormat="false" ht="15" hidden="false" customHeight="false" outlineLevel="0" collapsed="false">
      <c r="B6" s="12" t="s">
        <v>119</v>
      </c>
      <c r="C6" s="48" t="n">
        <f aca="false">C5*Assumptions!$C$28</f>
        <v>48.6</v>
      </c>
      <c r="D6" s="48" t="n">
        <f aca="false">D5*Assumptions!$C$29</f>
        <v>172.8</v>
      </c>
      <c r="E6" s="48" t="n">
        <f aca="false">E5*Assumptions!$C$30</f>
        <v>396</v>
      </c>
    </row>
    <row r="7" customFormat="false" ht="15" hidden="false" customHeight="false" outlineLevel="0" collapsed="false">
      <c r="B7" s="10" t="s">
        <v>120</v>
      </c>
      <c r="C7" s="49" t="n">
        <f aca="false">C6*Assumptions!$C$23</f>
        <v>20.412</v>
      </c>
      <c r="D7" s="49" t="n">
        <f aca="false">D6*Assumptions!$C$23</f>
        <v>72.576</v>
      </c>
      <c r="E7" s="49" t="n">
        <f aca="false">E6*Assumptions!$C$23</f>
        <v>166.32</v>
      </c>
    </row>
    <row r="8" customFormat="false" ht="15" hidden="false" customHeight="false" outlineLevel="0" collapsed="false">
      <c r="B8" s="22" t="s">
        <v>121</v>
      </c>
      <c r="C8" s="48" t="n">
        <f aca="false">C5-C7</f>
        <v>24.588</v>
      </c>
      <c r="D8" s="48" t="n">
        <f aca="false">D5-D7</f>
        <v>107.424</v>
      </c>
      <c r="E8" s="48" t="n">
        <f aca="false">E5-E7</f>
        <v>283.68</v>
      </c>
    </row>
    <row r="9" customFormat="false" ht="15" hidden="false" customHeight="false" outlineLevel="0" collapsed="false">
      <c r="B9" s="10" t="s">
        <v>122</v>
      </c>
      <c r="C9" s="35" t="n">
        <f aca="false">C8/C5</f>
        <v>0.5464</v>
      </c>
      <c r="D9" s="35" t="n">
        <f aca="false">D8/D5</f>
        <v>0.5968</v>
      </c>
      <c r="E9" s="35" t="n">
        <f aca="false">E8/E5</f>
        <v>0.6304</v>
      </c>
    </row>
    <row r="11" customFormat="false" ht="15" hidden="false" customHeight="false" outlineLevel="0" collapsed="false">
      <c r="B11" s="22" t="s">
        <v>123</v>
      </c>
      <c r="C11" s="20"/>
      <c r="D11" s="20"/>
      <c r="E11" s="20"/>
    </row>
    <row r="12" customFormat="false" ht="15" hidden="false" customHeight="false" outlineLevel="0" collapsed="false">
      <c r="B12" s="10" t="s">
        <v>124</v>
      </c>
      <c r="C12" s="49" t="n">
        <f aca="false">C6*Assumptions!$C$24</f>
        <v>13.608</v>
      </c>
      <c r="D12" s="49" t="n">
        <f aca="false">D6*Assumptions!$C$24</f>
        <v>48.384</v>
      </c>
      <c r="E12" s="49" t="n">
        <f aca="false">E6*Assumptions!$C$24</f>
        <v>110.88</v>
      </c>
    </row>
    <row r="13" customFormat="false" ht="15" hidden="false" customHeight="false" outlineLevel="0" collapsed="false">
      <c r="B13" s="12" t="s">
        <v>125</v>
      </c>
      <c r="C13" s="48" t="n">
        <f aca="false">C6*Assumptions!$C$25</f>
        <v>7.29</v>
      </c>
      <c r="D13" s="48" t="n">
        <f aca="false">D6*Assumptions!$C$25</f>
        <v>25.92</v>
      </c>
      <c r="E13" s="48" t="n">
        <f aca="false">E6*Assumptions!$C$25</f>
        <v>59.4</v>
      </c>
    </row>
    <row r="14" customFormat="false" ht="15" hidden="false" customHeight="false" outlineLevel="0" collapsed="false">
      <c r="B14" s="10" t="s">
        <v>126</v>
      </c>
      <c r="C14" s="49" t="n">
        <f aca="false">C6*Assumptions!$C$26</f>
        <v>7.29</v>
      </c>
      <c r="D14" s="49" t="n">
        <f aca="false">D6*Assumptions!$C$26</f>
        <v>25.92</v>
      </c>
      <c r="E14" s="49" t="n">
        <f aca="false">E6*Assumptions!$C$26</f>
        <v>59.4</v>
      </c>
    </row>
    <row r="15" customFormat="false" ht="15" hidden="false" customHeight="false" outlineLevel="0" collapsed="false">
      <c r="B15" s="22" t="s">
        <v>127</v>
      </c>
      <c r="C15" s="48" t="n">
        <f aca="false">SUM(C12:C14)</f>
        <v>28.188</v>
      </c>
      <c r="D15" s="48" t="n">
        <f aca="false">SUM(D12:D14)</f>
        <v>100.224</v>
      </c>
      <c r="E15" s="48" t="n">
        <f aca="false">SUM(E12:E14)</f>
        <v>229.68</v>
      </c>
    </row>
    <row r="17" customFormat="false" ht="15" hidden="false" customHeight="false" outlineLevel="0" collapsed="false">
      <c r="B17" s="24" t="s">
        <v>128</v>
      </c>
      <c r="C17" s="49" t="n">
        <f aca="false">C8-C15</f>
        <v>-3.6</v>
      </c>
      <c r="D17" s="49" t="n">
        <f aca="false">D8-D15</f>
        <v>7.2</v>
      </c>
      <c r="E17" s="49" t="n">
        <f aca="false">E8-E15</f>
        <v>54</v>
      </c>
    </row>
    <row r="18" customFormat="false" ht="15" hidden="false" customHeight="false" outlineLevel="0" collapsed="false">
      <c r="B18" s="12" t="s">
        <v>129</v>
      </c>
      <c r="C18" s="48" t="n">
        <f aca="false">MAX(C17,0)*Assumptions!$C$35</f>
        <v>0</v>
      </c>
      <c r="D18" s="48" t="n">
        <f aca="false">MAX(D17,0)*Assumptions!$C$35</f>
        <v>1.8</v>
      </c>
      <c r="E18" s="48" t="n">
        <f aca="false">MAX(E17,0)*Assumptions!$C$35</f>
        <v>13.5</v>
      </c>
    </row>
    <row r="19" customFormat="false" ht="15" hidden="false" customHeight="false" outlineLevel="0" collapsed="false">
      <c r="B19" s="50" t="s">
        <v>130</v>
      </c>
      <c r="C19" s="51" t="n">
        <f aca="false">C17-C18</f>
        <v>-3.6</v>
      </c>
      <c r="D19" s="51" t="n">
        <f aca="false">D17-D18</f>
        <v>5.4</v>
      </c>
      <c r="E19" s="51" t="n">
        <f aca="false">E17-E18</f>
        <v>40.5</v>
      </c>
    </row>
    <row r="20" customFormat="false" ht="15" hidden="false" customHeight="false" outlineLevel="0" collapsed="false">
      <c r="B20" s="24" t="s">
        <v>131</v>
      </c>
      <c r="C20" s="35" t="n">
        <f aca="false">C19/C5</f>
        <v>-0.08</v>
      </c>
      <c r="D20" s="35" t="n">
        <f aca="false">D19/D5</f>
        <v>0.03</v>
      </c>
      <c r="E20" s="35" t="n">
        <f aca="false">E19/E5</f>
        <v>0.09</v>
      </c>
    </row>
    <row r="22" customFormat="false" ht="27.75" hidden="false" customHeight="true" outlineLevel="0" collapsed="false">
      <c r="B22" s="47" t="s">
        <v>132</v>
      </c>
      <c r="C22" s="47"/>
      <c r="D22" s="47"/>
      <c r="E22" s="47"/>
    </row>
  </sheetData>
  <mergeCells count="3">
    <mergeCell ref="A1:F1"/>
    <mergeCell ref="A2:F2"/>
    <mergeCell ref="B22:E22"/>
  </mergeCells>
  <conditionalFormatting sqref="C17:E17">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conditionalFormatting sqref="C19:E19">
    <cfRule type="cellIs" priority="4" operator="lessThan" aboveAverage="0" equalAverage="0" bottom="0" percent="0" rank="0" text="" dxfId="0">
      <formula>0</formula>
    </cfRule>
    <cfRule type="cellIs" priority="5" operator="greaterThanOrEqual" aboveAverage="0" equalAverage="0" bottom="0" percent="0" rank="0" text="" dxfId="1">
      <formula>0</formula>
    </cfRule>
  </conditionalFormatting>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8C8C"/>
    <pageSetUpPr fitToPage="tru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8"/>
    <col collapsed="false" customWidth="true" hidden="false" outlineLevel="0" max="4" min="4" style="0" width="46"/>
    <col collapsed="false" customWidth="true" hidden="false" outlineLevel="0" max="7" min="5" style="0" width="4"/>
  </cols>
  <sheetData>
    <row r="1" customFormat="false" ht="33.75" hidden="false" customHeight="true" outlineLevel="0" collapsed="false">
      <c r="A1" s="1" t="s">
        <v>133</v>
      </c>
      <c r="B1" s="1"/>
      <c r="C1" s="1"/>
      <c r="D1" s="1"/>
      <c r="E1" s="1"/>
      <c r="F1" s="1"/>
    </row>
    <row r="2" customFormat="false" ht="15.75" hidden="false" customHeight="true" outlineLevel="0" collapsed="false">
      <c r="A2" s="2" t="s">
        <v>134</v>
      </c>
      <c r="B2" s="2"/>
      <c r="C2" s="2"/>
      <c r="D2" s="2"/>
      <c r="E2" s="2"/>
      <c r="F2" s="2"/>
    </row>
    <row r="4" customFormat="false" ht="19.5" hidden="false" customHeight="true" outlineLevel="0" collapsed="false">
      <c r="B4" s="14" t="s">
        <v>135</v>
      </c>
      <c r="C4" s="14"/>
      <c r="D4" s="14"/>
    </row>
    <row r="5" customFormat="false" ht="27.75" hidden="false" customHeight="true" outlineLevel="0" collapsed="false">
      <c r="B5" s="15" t="s">
        <v>136</v>
      </c>
      <c r="C5" s="15" t="s">
        <v>23</v>
      </c>
      <c r="D5" s="15" t="s">
        <v>137</v>
      </c>
    </row>
    <row r="6" customFormat="false" ht="15" hidden="false" customHeight="false" outlineLevel="0" collapsed="false">
      <c r="B6" s="10" t="s">
        <v>138</v>
      </c>
      <c r="C6" s="40" t="n">
        <f aca="false">Assumptions!C6</f>
        <v>130</v>
      </c>
      <c r="D6" s="18" t="s">
        <v>139</v>
      </c>
    </row>
    <row r="7" customFormat="false" ht="15" hidden="false" customHeight="false" outlineLevel="0" collapsed="false">
      <c r="B7" s="12" t="s">
        <v>140</v>
      </c>
      <c r="C7" s="41" t="n">
        <f aca="false">Assumptions!C9</f>
        <v>60</v>
      </c>
      <c r="D7" s="21" t="s">
        <v>139</v>
      </c>
    </row>
    <row r="8" customFormat="false" ht="15" hidden="false" customHeight="false" outlineLevel="0" collapsed="false">
      <c r="B8" s="24" t="s">
        <v>141</v>
      </c>
      <c r="C8" s="25" t="n">
        <f aca="false">C6-C7</f>
        <v>70</v>
      </c>
      <c r="D8" s="18" t="s">
        <v>142</v>
      </c>
    </row>
    <row r="9" customFormat="false" ht="15" hidden="false" customHeight="false" outlineLevel="0" collapsed="false">
      <c r="B9" s="12" t="s">
        <v>143</v>
      </c>
      <c r="C9" s="26" t="n">
        <f aca="false">C8/C6</f>
        <v>0.538461538461538</v>
      </c>
      <c r="D9" s="20"/>
    </row>
    <row r="11" customFormat="false" ht="19.5" hidden="false" customHeight="true" outlineLevel="0" collapsed="false">
      <c r="B11" s="14" t="s">
        <v>144</v>
      </c>
      <c r="C11" s="14"/>
      <c r="D11" s="14"/>
    </row>
    <row r="12" customFormat="false" ht="27.75" hidden="false" customHeight="true" outlineLevel="0" collapsed="false">
      <c r="B12" s="15" t="s">
        <v>136</v>
      </c>
      <c r="C12" s="15" t="s">
        <v>23</v>
      </c>
      <c r="D12" s="15" t="s">
        <v>137</v>
      </c>
    </row>
    <row r="13" customFormat="false" ht="15" hidden="false" customHeight="false" outlineLevel="0" collapsed="false">
      <c r="B13" s="10" t="s">
        <v>145</v>
      </c>
      <c r="C13" s="40" t="n">
        <f aca="false">Assumptions!C42</f>
        <v>729000</v>
      </c>
      <c r="D13" s="18" t="s">
        <v>70</v>
      </c>
    </row>
    <row r="14" customFormat="false" ht="15" hidden="false" customHeight="false" outlineLevel="0" collapsed="false">
      <c r="B14" s="22" t="s">
        <v>146</v>
      </c>
      <c r="C14" s="23" t="n">
        <f aca="false">C13/C8</f>
        <v>10414.2857142857</v>
      </c>
      <c r="D14" s="21" t="s">
        <v>147</v>
      </c>
    </row>
    <row r="15" customFormat="false" ht="15" hidden="false" customHeight="false" outlineLevel="0" collapsed="false">
      <c r="B15" s="24" t="s">
        <v>148</v>
      </c>
      <c r="C15" s="25" t="n">
        <f aca="false">C14*C6</f>
        <v>1353857.14285714</v>
      </c>
      <c r="D15" s="18" t="s">
        <v>149</v>
      </c>
    </row>
    <row r="17" customFormat="false" ht="19.5" hidden="false" customHeight="true" outlineLevel="0" collapsed="false">
      <c r="B17" s="14" t="s">
        <v>150</v>
      </c>
      <c r="C17" s="14"/>
      <c r="D17" s="14"/>
    </row>
    <row r="18" customFormat="false" ht="27.75" hidden="false" customHeight="true" outlineLevel="0" collapsed="false">
      <c r="B18" s="15" t="s">
        <v>136</v>
      </c>
      <c r="C18" s="15" t="s">
        <v>23</v>
      </c>
      <c r="D18" s="15" t="s">
        <v>137</v>
      </c>
    </row>
    <row r="19" customFormat="false" ht="15" hidden="false" customHeight="false" outlineLevel="0" collapsed="false">
      <c r="B19" s="10" t="s">
        <v>151</v>
      </c>
      <c r="C19" s="40" t="n">
        <f aca="false">Assumptions!C34</f>
        <v>920000</v>
      </c>
      <c r="D19" s="18" t="s">
        <v>59</v>
      </c>
    </row>
    <row r="20" customFormat="false" ht="15" hidden="false" customHeight="false" outlineLevel="0" collapsed="false">
      <c r="B20" s="22" t="s">
        <v>152</v>
      </c>
      <c r="C20" s="23" t="n">
        <f aca="false">C19/C8</f>
        <v>13142.8571428571</v>
      </c>
      <c r="D20" s="21" t="s">
        <v>153</v>
      </c>
    </row>
    <row r="21" customFormat="false" ht="15" hidden="false" customHeight="false" outlineLevel="0" collapsed="false">
      <c r="B21" s="24" t="s">
        <v>154</v>
      </c>
      <c r="C21" s="25" t="n">
        <f aca="false">C20*C6</f>
        <v>1708571.42857143</v>
      </c>
      <c r="D21" s="18" t="s">
        <v>155</v>
      </c>
    </row>
    <row r="22" customFormat="false" ht="15" hidden="false" customHeight="false" outlineLevel="0" collapsed="false">
      <c r="B22" s="12" t="s">
        <v>156</v>
      </c>
      <c r="C22" s="41" t="n">
        <f aca="false">Assumptions!C15*100000</f>
        <v>4500000</v>
      </c>
      <c r="D22" s="20"/>
    </row>
    <row r="23" customFormat="false" ht="15" hidden="false" customHeight="false" outlineLevel="0" collapsed="false">
      <c r="B23" s="24" t="s">
        <v>157</v>
      </c>
      <c r="C23" s="52" t="n">
        <f aca="false">(C21/C22)*12</f>
        <v>4.55619047619048</v>
      </c>
      <c r="D23" s="18" t="s">
        <v>158</v>
      </c>
    </row>
    <row r="25" customFormat="false" ht="19.5" hidden="false" customHeight="true" outlineLevel="0" collapsed="false">
      <c r="B25" s="14" t="s">
        <v>159</v>
      </c>
      <c r="C25" s="14"/>
      <c r="D25" s="14"/>
    </row>
    <row r="26" customFormat="false" ht="27.75" hidden="false" customHeight="true" outlineLevel="0" collapsed="false">
      <c r="B26" s="15" t="s">
        <v>105</v>
      </c>
      <c r="C26" s="15" t="s">
        <v>160</v>
      </c>
      <c r="D26" s="15" t="s">
        <v>161</v>
      </c>
    </row>
    <row r="27" customFormat="false" ht="15" hidden="false" customHeight="false" outlineLevel="0" collapsed="false">
      <c r="B27" s="16" t="n">
        <v>0</v>
      </c>
      <c r="C27" s="25" t="n">
        <f aca="false">B27*$C$6</f>
        <v>0</v>
      </c>
      <c r="D27" s="25" t="n">
        <f aca="false">B27*$C$7+$C$13</f>
        <v>729000</v>
      </c>
    </row>
    <row r="28" customFormat="false" ht="15" hidden="false" customHeight="false" outlineLevel="0" collapsed="false">
      <c r="B28" s="19" t="n">
        <v>2000</v>
      </c>
      <c r="C28" s="23" t="n">
        <f aca="false">B28*$C$6</f>
        <v>260000</v>
      </c>
      <c r="D28" s="23" t="n">
        <f aca="false">B28*$C$7+$C$13</f>
        <v>849000</v>
      </c>
    </row>
    <row r="29" customFormat="false" ht="15" hidden="false" customHeight="false" outlineLevel="0" collapsed="false">
      <c r="B29" s="16" t="n">
        <v>4000</v>
      </c>
      <c r="C29" s="25" t="n">
        <f aca="false">B29*$C$6</f>
        <v>520000</v>
      </c>
      <c r="D29" s="25" t="n">
        <f aca="false">B29*$C$7+$C$13</f>
        <v>969000</v>
      </c>
    </row>
    <row r="30" customFormat="false" ht="15" hidden="false" customHeight="false" outlineLevel="0" collapsed="false">
      <c r="B30" s="19" t="n">
        <v>6000</v>
      </c>
      <c r="C30" s="23" t="n">
        <f aca="false">B30*$C$6</f>
        <v>780000</v>
      </c>
      <c r="D30" s="23" t="n">
        <f aca="false">B30*$C$7+$C$13</f>
        <v>1089000</v>
      </c>
    </row>
    <row r="31" customFormat="false" ht="15" hidden="false" customHeight="false" outlineLevel="0" collapsed="false">
      <c r="B31" s="16" t="n">
        <v>8000</v>
      </c>
      <c r="C31" s="25" t="n">
        <f aca="false">B31*$C$6</f>
        <v>1040000</v>
      </c>
      <c r="D31" s="25" t="n">
        <f aca="false">B31*$C$7+$C$13</f>
        <v>1209000</v>
      </c>
    </row>
    <row r="32" customFormat="false" ht="15" hidden="false" customHeight="false" outlineLevel="0" collapsed="false">
      <c r="B32" s="19" t="n">
        <v>10000</v>
      </c>
      <c r="C32" s="23" t="n">
        <f aca="false">B32*$C$6</f>
        <v>1300000</v>
      </c>
      <c r="D32" s="23" t="n">
        <f aca="false">B32*$C$7+$C$13</f>
        <v>1329000</v>
      </c>
    </row>
    <row r="33" customFormat="false" ht="15" hidden="false" customHeight="false" outlineLevel="0" collapsed="false">
      <c r="B33" s="16" t="n">
        <v>12000</v>
      </c>
      <c r="C33" s="25" t="n">
        <f aca="false">B33*$C$6</f>
        <v>1560000</v>
      </c>
      <c r="D33" s="25" t="n">
        <f aca="false">B33*$C$7+$C$13</f>
        <v>1449000</v>
      </c>
    </row>
    <row r="34" customFormat="false" ht="15" hidden="false" customHeight="false" outlineLevel="0" collapsed="false">
      <c r="B34" s="19" t="n">
        <v>14000</v>
      </c>
      <c r="C34" s="23" t="n">
        <f aca="false">B34*$C$6</f>
        <v>1820000</v>
      </c>
      <c r="D34" s="23" t="n">
        <f aca="false">B34*$C$7+$C$13</f>
        <v>1569000</v>
      </c>
    </row>
    <row r="35" customFormat="false" ht="15" hidden="false" customHeight="false" outlineLevel="0" collapsed="false">
      <c r="B35" s="16" t="n">
        <v>16000</v>
      </c>
      <c r="C35" s="25" t="n">
        <f aca="false">B35*$C$6</f>
        <v>2080000</v>
      </c>
      <c r="D35" s="25" t="n">
        <f aca="false">B35*$C$7+$C$13</f>
        <v>1689000</v>
      </c>
    </row>
    <row r="36" customFormat="false" ht="15" hidden="false" customHeight="false" outlineLevel="0" collapsed="false">
      <c r="B36" s="19" t="n">
        <v>18000</v>
      </c>
      <c r="C36" s="23" t="n">
        <f aca="false">B36*$C$6</f>
        <v>2340000</v>
      </c>
      <c r="D36" s="23" t="n">
        <f aca="false">B36*$C$7+$C$13</f>
        <v>1809000</v>
      </c>
    </row>
    <row r="37" customFormat="false" ht="15" hidden="false" customHeight="false" outlineLevel="0" collapsed="false">
      <c r="B37" s="16" t="n">
        <v>20000</v>
      </c>
      <c r="C37" s="25" t="n">
        <f aca="false">B37*$C$6</f>
        <v>2600000</v>
      </c>
      <c r="D37" s="25" t="n">
        <f aca="false">B37*$C$7+$C$13</f>
        <v>1929000</v>
      </c>
    </row>
  </sheetData>
  <mergeCells count="6">
    <mergeCell ref="A1:F1"/>
    <mergeCell ref="A2:F2"/>
    <mergeCell ref="B4:D4"/>
    <mergeCell ref="B11:D11"/>
    <mergeCell ref="B17:D17"/>
    <mergeCell ref="B25:D25"/>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8C8C"/>
    <pageSetUpPr fitToPage="true"/>
  </sheetPr>
  <dimension ref="A1:N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15" min="3" style="0" width="12"/>
    <col collapsed="false" customWidth="true" hidden="false" outlineLevel="0" max="16" min="16" style="0" width="4"/>
  </cols>
  <sheetData>
    <row r="1" customFormat="false" ht="33.75" hidden="false" customHeight="true" outlineLevel="0" collapsed="false">
      <c r="A1" s="1" t="s">
        <v>162</v>
      </c>
      <c r="B1" s="1"/>
      <c r="C1" s="1"/>
      <c r="D1" s="1"/>
      <c r="E1" s="1"/>
      <c r="F1" s="1"/>
      <c r="G1" s="1"/>
      <c r="H1" s="1"/>
    </row>
    <row r="2" customFormat="false" ht="15.75" hidden="false" customHeight="true" outlineLevel="0" collapsed="false">
      <c r="A2" s="2" t="s">
        <v>163</v>
      </c>
      <c r="B2" s="2"/>
      <c r="C2" s="2"/>
      <c r="D2" s="2"/>
      <c r="E2" s="2"/>
      <c r="F2" s="2"/>
      <c r="G2" s="2"/>
      <c r="H2" s="2"/>
    </row>
    <row r="4" customFormat="false" ht="19.5" hidden="false" customHeight="true" outlineLevel="0" collapsed="false">
      <c r="B4" s="14" t="s">
        <v>164</v>
      </c>
      <c r="C4" s="14"/>
      <c r="D4" s="14"/>
      <c r="E4" s="14"/>
      <c r="F4" s="14"/>
      <c r="G4" s="14"/>
      <c r="H4" s="14"/>
      <c r="I4" s="14"/>
      <c r="J4" s="14"/>
      <c r="K4" s="14"/>
      <c r="L4" s="14"/>
      <c r="M4" s="14"/>
    </row>
    <row r="5" customFormat="false" ht="19.5" hidden="false" customHeight="true" outlineLevel="0" collapsed="false">
      <c r="B5" s="9" t="s">
        <v>117</v>
      </c>
      <c r="C5" s="53" t="s">
        <v>165</v>
      </c>
      <c r="D5" s="53" t="s">
        <v>166</v>
      </c>
      <c r="E5" s="53" t="s">
        <v>167</v>
      </c>
      <c r="F5" s="53" t="s">
        <v>168</v>
      </c>
      <c r="G5" s="53" t="s">
        <v>169</v>
      </c>
      <c r="H5" s="53" t="s">
        <v>170</v>
      </c>
      <c r="I5" s="53" t="s">
        <v>171</v>
      </c>
      <c r="J5" s="53" t="s">
        <v>172</v>
      </c>
      <c r="K5" s="53" t="s">
        <v>173</v>
      </c>
      <c r="L5" s="53" t="s">
        <v>174</v>
      </c>
      <c r="M5" s="53" t="s">
        <v>175</v>
      </c>
      <c r="N5" s="53" t="s">
        <v>176</v>
      </c>
    </row>
    <row r="6" customFormat="false" ht="15" hidden="false" customHeight="false" outlineLevel="0" collapsed="false">
      <c r="B6" s="18" t="s">
        <v>177</v>
      </c>
      <c r="C6" s="54" t="n">
        <v>0.03</v>
      </c>
      <c r="D6" s="54" t="n">
        <v>0.04</v>
      </c>
      <c r="E6" s="54" t="n">
        <v>0.05</v>
      </c>
      <c r="F6" s="54" t="n">
        <v>0.06</v>
      </c>
      <c r="G6" s="54" t="n">
        <v>0.07</v>
      </c>
      <c r="H6" s="54" t="n">
        <v>0.08</v>
      </c>
      <c r="I6" s="54" t="n">
        <v>0.09</v>
      </c>
      <c r="J6" s="54" t="n">
        <v>0.1</v>
      </c>
      <c r="K6" s="54" t="n">
        <v>0.1</v>
      </c>
      <c r="L6" s="54" t="n">
        <v>0.11</v>
      </c>
      <c r="M6" s="54" t="n">
        <v>0.12</v>
      </c>
      <c r="N6" s="54" t="n">
        <v>0.15</v>
      </c>
    </row>
    <row r="7" customFormat="false" ht="15" hidden="false" customHeight="false" outlineLevel="0" collapsed="false">
      <c r="B7" s="12" t="s">
        <v>118</v>
      </c>
      <c r="C7" s="23" t="n">
        <f aca="false">C6*Assumptions!$C$15*100000</f>
        <v>135000</v>
      </c>
      <c r="D7" s="23" t="n">
        <f aca="false">D6*Assumptions!$C$15*100000</f>
        <v>180000</v>
      </c>
      <c r="E7" s="23" t="n">
        <f aca="false">E6*Assumptions!$C$15*100000</f>
        <v>225000</v>
      </c>
      <c r="F7" s="23" t="n">
        <f aca="false">F6*Assumptions!$C$15*100000</f>
        <v>270000</v>
      </c>
      <c r="G7" s="23" t="n">
        <f aca="false">G6*Assumptions!$C$15*100000</f>
        <v>315000</v>
      </c>
      <c r="H7" s="23" t="n">
        <f aca="false">H6*Assumptions!$C$15*100000</f>
        <v>360000</v>
      </c>
      <c r="I7" s="23" t="n">
        <f aca="false">I6*Assumptions!$C$15*100000</f>
        <v>405000</v>
      </c>
      <c r="J7" s="23" t="n">
        <f aca="false">J6*Assumptions!$C$15*100000</f>
        <v>450000</v>
      </c>
      <c r="K7" s="23" t="n">
        <f aca="false">K6*Assumptions!$C$15*100000</f>
        <v>450000</v>
      </c>
      <c r="L7" s="23" t="n">
        <f aca="false">L6*Assumptions!$C$15*100000</f>
        <v>495000</v>
      </c>
      <c r="M7" s="23" t="n">
        <f aca="false">M6*Assumptions!$C$15*100000</f>
        <v>540000</v>
      </c>
      <c r="N7" s="23" t="n">
        <f aca="false">N6*Assumptions!$C$15*100000</f>
        <v>675000</v>
      </c>
    </row>
    <row r="8" customFormat="false" ht="15" hidden="false" customHeight="false" outlineLevel="0" collapsed="false">
      <c r="B8" s="10" t="s">
        <v>178</v>
      </c>
      <c r="C8" s="25" t="n">
        <f aca="false">C7/Assumptions!$C$6*Assumptions!$C$9</f>
        <v>62307.6923076923</v>
      </c>
      <c r="D8" s="25" t="n">
        <f aca="false">D7/Assumptions!$C$6*Assumptions!$C$9</f>
        <v>83076.9230769231</v>
      </c>
      <c r="E8" s="25" t="n">
        <f aca="false">E7/Assumptions!$C$6*Assumptions!$C$9</f>
        <v>103846.153846154</v>
      </c>
      <c r="F8" s="25" t="n">
        <f aca="false">F7/Assumptions!$C$6*Assumptions!$C$9</f>
        <v>124615.384615385</v>
      </c>
      <c r="G8" s="25" t="n">
        <f aca="false">G7/Assumptions!$C$6*Assumptions!$C$9</f>
        <v>145384.615384615</v>
      </c>
      <c r="H8" s="25" t="n">
        <f aca="false">H7/Assumptions!$C$6*Assumptions!$C$9</f>
        <v>166153.846153846</v>
      </c>
      <c r="I8" s="25" t="n">
        <f aca="false">I7/Assumptions!$C$6*Assumptions!$C$9</f>
        <v>186923.076923077</v>
      </c>
      <c r="J8" s="25" t="n">
        <f aca="false">J7/Assumptions!$C$6*Assumptions!$C$9</f>
        <v>207692.307692308</v>
      </c>
      <c r="K8" s="25" t="n">
        <f aca="false">K7/Assumptions!$C$6*Assumptions!$C$9</f>
        <v>207692.307692308</v>
      </c>
      <c r="L8" s="25" t="n">
        <f aca="false">L7/Assumptions!$C$6*Assumptions!$C$9</f>
        <v>228461.538461538</v>
      </c>
      <c r="M8" s="25" t="n">
        <f aca="false">M7/Assumptions!$C$6*Assumptions!$C$9</f>
        <v>249230.769230769</v>
      </c>
      <c r="N8" s="25" t="n">
        <f aca="false">N7/Assumptions!$C$6*Assumptions!$C$9</f>
        <v>311538.461538462</v>
      </c>
    </row>
    <row r="9" customFormat="false" ht="15" hidden="false" customHeight="false" outlineLevel="0" collapsed="false">
      <c r="B9" s="12" t="s">
        <v>179</v>
      </c>
      <c r="C9" s="23" t="n">
        <f aca="false">('P&amp;L Statement'!C12+'P&amp;L Statement'!C13+'P&amp;L Statement'!C14)*100000/12</f>
        <v>234900</v>
      </c>
      <c r="D9" s="23" t="n">
        <f aca="false">('P&amp;L Statement'!C12+'P&amp;L Statement'!C13+'P&amp;L Statement'!C14)*100000/12</f>
        <v>234900</v>
      </c>
      <c r="E9" s="23" t="n">
        <f aca="false">('P&amp;L Statement'!C12+'P&amp;L Statement'!C13+'P&amp;L Statement'!C14)*100000/12</f>
        <v>234900</v>
      </c>
      <c r="F9" s="23" t="n">
        <f aca="false">('P&amp;L Statement'!C12+'P&amp;L Statement'!C13+'P&amp;L Statement'!C14)*100000/12</f>
        <v>234900</v>
      </c>
      <c r="G9" s="23" t="n">
        <f aca="false">('P&amp;L Statement'!C12+'P&amp;L Statement'!C13+'P&amp;L Statement'!C14)*100000/12</f>
        <v>234900</v>
      </c>
      <c r="H9" s="23" t="n">
        <f aca="false">('P&amp;L Statement'!C12+'P&amp;L Statement'!C13+'P&amp;L Statement'!C14)*100000/12</f>
        <v>234900</v>
      </c>
      <c r="I9" s="23" t="n">
        <f aca="false">('P&amp;L Statement'!C12+'P&amp;L Statement'!C13+'P&amp;L Statement'!C14)*100000/12</f>
        <v>234900</v>
      </c>
      <c r="J9" s="23" t="n">
        <f aca="false">('P&amp;L Statement'!C12+'P&amp;L Statement'!C13+'P&amp;L Statement'!C14)*100000/12</f>
        <v>234900</v>
      </c>
      <c r="K9" s="23" t="n">
        <f aca="false">('P&amp;L Statement'!C12+'P&amp;L Statement'!C13+'P&amp;L Statement'!C14)*100000/12</f>
        <v>234900</v>
      </c>
      <c r="L9" s="23" t="n">
        <f aca="false">('P&amp;L Statement'!C12+'P&amp;L Statement'!C13+'P&amp;L Statement'!C14)*100000/12</f>
        <v>234900</v>
      </c>
      <c r="M9" s="23" t="n">
        <f aca="false">('P&amp;L Statement'!C12+'P&amp;L Statement'!C13+'P&amp;L Statement'!C14)*100000/12</f>
        <v>234900</v>
      </c>
      <c r="N9" s="23" t="n">
        <f aca="false">('P&amp;L Statement'!C12+'P&amp;L Statement'!C13+'P&amp;L Statement'!C14)*100000/12</f>
        <v>234900</v>
      </c>
    </row>
    <row r="10" customFormat="false" ht="15" hidden="false" customHeight="false" outlineLevel="0" collapsed="false">
      <c r="B10" s="24" t="s">
        <v>180</v>
      </c>
      <c r="C10" s="25" t="n">
        <f aca="false">C8+C9</f>
        <v>297207.692307692</v>
      </c>
      <c r="D10" s="25" t="n">
        <f aca="false">D8+D9</f>
        <v>317976.923076923</v>
      </c>
      <c r="E10" s="25" t="n">
        <f aca="false">E8+E9</f>
        <v>338746.153846154</v>
      </c>
      <c r="F10" s="25" t="n">
        <f aca="false">F8+F9</f>
        <v>359515.384615385</v>
      </c>
      <c r="G10" s="25" t="n">
        <f aca="false">G8+G9</f>
        <v>380284.615384615</v>
      </c>
      <c r="H10" s="25" t="n">
        <f aca="false">H8+H9</f>
        <v>401053.846153846</v>
      </c>
      <c r="I10" s="25" t="n">
        <f aca="false">I8+I9</f>
        <v>421823.076923077</v>
      </c>
      <c r="J10" s="25" t="n">
        <f aca="false">J8+J9</f>
        <v>442592.307692308</v>
      </c>
      <c r="K10" s="25" t="n">
        <f aca="false">K8+K9</f>
        <v>442592.307692308</v>
      </c>
      <c r="L10" s="25" t="n">
        <f aca="false">L8+L9</f>
        <v>463361.538461539</v>
      </c>
      <c r="M10" s="25" t="n">
        <f aca="false">M8+M9</f>
        <v>484130.769230769</v>
      </c>
      <c r="N10" s="25" t="n">
        <f aca="false">N8+N9</f>
        <v>546438.461538462</v>
      </c>
    </row>
    <row r="11" customFormat="false" ht="15" hidden="false" customHeight="false" outlineLevel="0" collapsed="false">
      <c r="B11" s="22" t="s">
        <v>181</v>
      </c>
      <c r="C11" s="23" t="n">
        <f aca="false">C7-C10</f>
        <v>-162207.692307692</v>
      </c>
      <c r="D11" s="23" t="n">
        <f aca="false">D7-D10</f>
        <v>-137976.923076923</v>
      </c>
      <c r="E11" s="23" t="n">
        <f aca="false">E7-E10</f>
        <v>-113746.153846154</v>
      </c>
      <c r="F11" s="23" t="n">
        <f aca="false">F7-F10</f>
        <v>-89515.3846153846</v>
      </c>
      <c r="G11" s="23" t="n">
        <f aca="false">G7-G10</f>
        <v>-65284.6153846154</v>
      </c>
      <c r="H11" s="23" t="n">
        <f aca="false">H7-H10</f>
        <v>-41053.8461538462</v>
      </c>
      <c r="I11" s="23" t="n">
        <f aca="false">I7-I10</f>
        <v>-16823.0769230769</v>
      </c>
      <c r="J11" s="23" t="n">
        <f aca="false">J7-J10</f>
        <v>7407.69230769225</v>
      </c>
      <c r="K11" s="23" t="n">
        <f aca="false">K7-K10</f>
        <v>7407.69230769225</v>
      </c>
      <c r="L11" s="23" t="n">
        <f aca="false">L7-L10</f>
        <v>31638.4615384615</v>
      </c>
      <c r="M11" s="23" t="n">
        <f aca="false">M7-M10</f>
        <v>55869.2307692308</v>
      </c>
      <c r="N11" s="23" t="n">
        <f aca="false">N7-N10</f>
        <v>128561.538461538</v>
      </c>
    </row>
    <row r="12" customFormat="false" ht="15" hidden="false" customHeight="false" outlineLevel="0" collapsed="false">
      <c r="B12" s="10" t="s">
        <v>182</v>
      </c>
      <c r="C12" s="25" t="n">
        <f aca="false">Assumptions!$C$38</f>
        <v>920000</v>
      </c>
      <c r="D12" s="25" t="n">
        <f aca="false">C13</f>
        <v>757792.307692308</v>
      </c>
      <c r="E12" s="25" t="n">
        <f aca="false">D13</f>
        <v>619815.384615385</v>
      </c>
      <c r="F12" s="25" t="n">
        <f aca="false">E13</f>
        <v>506069.230769231</v>
      </c>
      <c r="G12" s="25" t="n">
        <f aca="false">F13</f>
        <v>416553.846153846</v>
      </c>
      <c r="H12" s="25" t="n">
        <f aca="false">G13</f>
        <v>351269.230769231</v>
      </c>
      <c r="I12" s="25" t="n">
        <f aca="false">H13</f>
        <v>310215.384615384</v>
      </c>
      <c r="J12" s="25" t="n">
        <f aca="false">I13</f>
        <v>293392.307692308</v>
      </c>
      <c r="K12" s="25" t="n">
        <f aca="false">J13</f>
        <v>300800</v>
      </c>
      <c r="L12" s="25" t="n">
        <f aca="false">K13</f>
        <v>308207.692307692</v>
      </c>
      <c r="M12" s="25" t="n">
        <f aca="false">L13</f>
        <v>339846.153846154</v>
      </c>
      <c r="N12" s="25" t="n">
        <f aca="false">M13</f>
        <v>395715.384615384</v>
      </c>
    </row>
    <row r="13" customFormat="false" ht="15" hidden="false" customHeight="false" outlineLevel="0" collapsed="false">
      <c r="B13" s="36" t="s">
        <v>183</v>
      </c>
      <c r="C13" s="37" t="n">
        <f aca="false">C12+C11</f>
        <v>757792.307692308</v>
      </c>
      <c r="D13" s="37" t="n">
        <f aca="false">D12+D11</f>
        <v>619815.384615385</v>
      </c>
      <c r="E13" s="37" t="n">
        <f aca="false">E12+E11</f>
        <v>506069.230769231</v>
      </c>
      <c r="F13" s="37" t="n">
        <f aca="false">F12+F11</f>
        <v>416553.846153846</v>
      </c>
      <c r="G13" s="37" t="n">
        <f aca="false">G12+G11</f>
        <v>351269.230769231</v>
      </c>
      <c r="H13" s="37" t="n">
        <f aca="false">H12+H11</f>
        <v>310215.384615384</v>
      </c>
      <c r="I13" s="37" t="n">
        <f aca="false">I12+I11</f>
        <v>293392.307692308</v>
      </c>
      <c r="J13" s="37" t="n">
        <f aca="false">J12+J11</f>
        <v>300800</v>
      </c>
      <c r="K13" s="37" t="n">
        <f aca="false">K12+K11</f>
        <v>308207.692307692</v>
      </c>
      <c r="L13" s="37" t="n">
        <f aca="false">L12+L11</f>
        <v>339846.153846154</v>
      </c>
      <c r="M13" s="37" t="n">
        <f aca="false">M12+M11</f>
        <v>395715.384615384</v>
      </c>
      <c r="N13" s="37" t="n">
        <f aca="false">N12+N11</f>
        <v>524276.923076923</v>
      </c>
    </row>
    <row r="15" customFormat="false" ht="27.75" hidden="false" customHeight="true" outlineLevel="0" collapsed="false">
      <c r="B15" s="47" t="s">
        <v>184</v>
      </c>
      <c r="C15" s="47"/>
      <c r="D15" s="47"/>
      <c r="E15" s="47"/>
      <c r="F15" s="47"/>
      <c r="G15" s="47"/>
      <c r="H15" s="47"/>
      <c r="I15" s="47"/>
      <c r="J15" s="47"/>
    </row>
    <row r="18" customFormat="false" ht="19.5" hidden="false" customHeight="true" outlineLevel="0" collapsed="false">
      <c r="B18" s="14" t="s">
        <v>185</v>
      </c>
      <c r="C18" s="14"/>
      <c r="D18" s="14"/>
      <c r="E18" s="14"/>
      <c r="F18" s="14"/>
      <c r="G18" s="14"/>
    </row>
    <row r="19" customFormat="false" ht="27.75" hidden="false" customHeight="true" outlineLevel="0" collapsed="false">
      <c r="B19" s="15" t="s">
        <v>117</v>
      </c>
      <c r="C19" s="15" t="s">
        <v>109</v>
      </c>
      <c r="D19" s="15" t="s">
        <v>111</v>
      </c>
      <c r="E19" s="15" t="s">
        <v>112</v>
      </c>
    </row>
    <row r="20" customFormat="false" ht="15" hidden="false" customHeight="false" outlineLevel="0" collapsed="false">
      <c r="B20" s="10" t="s">
        <v>182</v>
      </c>
      <c r="C20" s="11" t="n">
        <f aca="false">Assumptions!C38/100000</f>
        <v>9.2</v>
      </c>
      <c r="D20" s="49" t="n">
        <f aca="false">C24</f>
        <v>5.6</v>
      </c>
      <c r="E20" s="49" t="n">
        <f aca="false">D24</f>
        <v>12.8</v>
      </c>
    </row>
    <row r="21" customFormat="false" ht="15" hidden="false" customHeight="false" outlineLevel="0" collapsed="false">
      <c r="B21" s="12" t="s">
        <v>186</v>
      </c>
      <c r="C21" s="13" t="n">
        <f aca="false">'P&amp;L Statement'!C5</f>
        <v>45</v>
      </c>
      <c r="D21" s="13" t="n">
        <f aca="false">'P&amp;L Statement'!D5</f>
        <v>180</v>
      </c>
      <c r="E21" s="13" t="n">
        <f aca="false">'P&amp;L Statement'!E5</f>
        <v>450</v>
      </c>
    </row>
    <row r="22" customFormat="false" ht="15" hidden="false" customHeight="false" outlineLevel="0" collapsed="false">
      <c r="B22" s="10" t="s">
        <v>187</v>
      </c>
      <c r="C22" s="11" t="n">
        <f aca="false">'P&amp;L Statement'!C6</f>
        <v>48.6</v>
      </c>
      <c r="D22" s="11" t="n">
        <f aca="false">'P&amp;L Statement'!D6</f>
        <v>172.8</v>
      </c>
      <c r="E22" s="11" t="n">
        <f aca="false">'P&amp;L Statement'!E6</f>
        <v>396</v>
      </c>
    </row>
    <row r="23" customFormat="false" ht="15" hidden="false" customHeight="false" outlineLevel="0" collapsed="false">
      <c r="B23" s="22" t="s">
        <v>188</v>
      </c>
      <c r="C23" s="48" t="n">
        <f aca="false">C21-C22</f>
        <v>-3.6</v>
      </c>
      <c r="D23" s="48" t="n">
        <f aca="false">D21-D22</f>
        <v>7.20000000000002</v>
      </c>
      <c r="E23" s="48" t="n">
        <f aca="false">E21-E22</f>
        <v>54</v>
      </c>
    </row>
    <row r="24" customFormat="false" ht="15" hidden="false" customHeight="false" outlineLevel="0" collapsed="false">
      <c r="B24" s="36" t="s">
        <v>183</v>
      </c>
      <c r="C24" s="55" t="n">
        <f aca="false">C20+C23</f>
        <v>5.6</v>
      </c>
      <c r="D24" s="55" t="n">
        <f aca="false">D20+D23</f>
        <v>12.8</v>
      </c>
      <c r="E24" s="55" t="n">
        <f aca="false">E20+E23</f>
        <v>66.8</v>
      </c>
    </row>
    <row r="26" customFormat="false" ht="19.4" hidden="false" customHeight="true" outlineLevel="0" collapsed="false">
      <c r="B26" s="47" t="s">
        <v>189</v>
      </c>
      <c r="C26" s="47"/>
      <c r="D26" s="47"/>
      <c r="E26" s="47"/>
      <c r="F26" s="47"/>
      <c r="G26" s="47"/>
      <c r="H26" s="47"/>
    </row>
  </sheetData>
  <mergeCells count="6">
    <mergeCell ref="A1:H1"/>
    <mergeCell ref="A2:H2"/>
    <mergeCell ref="B4:M4"/>
    <mergeCell ref="B15:J15"/>
    <mergeCell ref="B18:G18"/>
    <mergeCell ref="B26:H26"/>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2026-07-04T11:17:40Z</dcterms:created>
  <dc:creator>openpyxl</dc:creator>
  <dc:description/>
  <dc:language>en-US</dc:language>
  <cp:lastModifiedBy/>
  <dcterms:modified xsi:type="dcterms:W3CDTF">2026-07-04T11:17:42Z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